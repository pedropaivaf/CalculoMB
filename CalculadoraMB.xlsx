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70" windowWidth="20730" windowHeight="9150" tabRatio="120"/>
  </bookViews>
  <sheets>
    <sheet name="Export" sheetId="1" r:id="rId1"/>
  </sheets>
  <externalReferences>
    <externalReference r:id="rId2"/>
  </externalReferences>
  <definedNames>
    <definedName name="_xlnm._FilterDatabase" localSheetId="0" hidden="1">Export!$A$1:$M$284</definedName>
  </definedNames>
  <calcPr calcId="124519"/>
</workbook>
</file>

<file path=xl/calcChain.xml><?xml version="1.0" encoding="utf-8"?>
<calcChain xmlns="http://schemas.openxmlformats.org/spreadsheetml/2006/main">
  <c r="N282" i="1"/>
  <c r="N278"/>
  <c r="N277"/>
  <c r="N276"/>
  <c r="N275"/>
  <c r="N274"/>
  <c r="N255"/>
  <c r="N252"/>
  <c r="N251"/>
  <c r="N250"/>
  <c r="N248"/>
  <c r="N246"/>
  <c r="N244"/>
  <c r="N242"/>
  <c r="N237"/>
  <c r="N228"/>
  <c r="N226"/>
  <c r="N222"/>
  <c r="N216"/>
  <c r="N212"/>
  <c r="N211"/>
  <c r="N203"/>
  <c r="N201"/>
  <c r="N196"/>
  <c r="N195"/>
  <c r="N192"/>
  <c r="N181"/>
  <c r="N180"/>
  <c r="N179"/>
  <c r="N178"/>
  <c r="N174"/>
  <c r="N169"/>
  <c r="N168"/>
  <c r="N166"/>
  <c r="N162"/>
  <c r="N161"/>
  <c r="N160"/>
  <c r="N159"/>
  <c r="N158"/>
  <c r="N157"/>
  <c r="N156"/>
  <c r="N155"/>
  <c r="N154"/>
  <c r="N153"/>
  <c r="N151"/>
  <c r="N143"/>
  <c r="N142"/>
  <c r="N139"/>
  <c r="N137"/>
  <c r="N134"/>
  <c r="N127"/>
  <c r="N126"/>
  <c r="N117"/>
  <c r="N112"/>
  <c r="N111"/>
  <c r="N110"/>
  <c r="N106"/>
  <c r="N105"/>
  <c r="N104"/>
  <c r="N103"/>
  <c r="N102"/>
  <c r="N100"/>
  <c r="N99"/>
  <c r="N98"/>
  <c r="N97"/>
  <c r="N93"/>
  <c r="N91"/>
  <c r="N90"/>
  <c r="N89"/>
  <c r="N88"/>
  <c r="N86"/>
  <c r="N83"/>
  <c r="N81"/>
  <c r="N79"/>
  <c r="N78"/>
  <c r="N77"/>
  <c r="N76"/>
  <c r="N75"/>
  <c r="N74"/>
  <c r="N73"/>
  <c r="N69"/>
  <c r="N68"/>
  <c r="N67"/>
  <c r="N62"/>
  <c r="N59"/>
  <c r="N58"/>
  <c r="N57"/>
  <c r="N56"/>
  <c r="N55"/>
  <c r="N54"/>
  <c r="N53"/>
  <c r="N51"/>
  <c r="N50"/>
  <c r="N48"/>
  <c r="N47"/>
  <c r="N46"/>
  <c r="N45"/>
  <c r="N42"/>
  <c r="N41"/>
  <c r="N39"/>
  <c r="N38"/>
  <c r="N36"/>
  <c r="N35"/>
  <c r="N34"/>
  <c r="N33"/>
  <c r="N32"/>
  <c r="N31"/>
  <c r="N30"/>
  <c r="N29"/>
  <c r="N28"/>
  <c r="N27"/>
  <c r="N25"/>
  <c r="N24"/>
  <c r="N23"/>
  <c r="N22"/>
  <c r="N21"/>
  <c r="N20"/>
  <c r="N19"/>
  <c r="N18"/>
  <c r="N15"/>
  <c r="N14"/>
  <c r="N12"/>
  <c r="N11"/>
  <c r="N7"/>
  <c r="N5"/>
  <c r="N4"/>
  <c r="N3"/>
  <c r="N2"/>
</calcChain>
</file>

<file path=xl/sharedStrings.xml><?xml version="1.0" encoding="utf-8"?>
<sst xmlns="http://schemas.openxmlformats.org/spreadsheetml/2006/main" count="2044" uniqueCount="598">
  <si>
    <t>CNPJ</t>
  </si>
  <si>
    <t>Tributação</t>
  </si>
  <si>
    <t>Filiais</t>
  </si>
  <si>
    <t>Sócios</t>
  </si>
  <si>
    <t>Faturamento</t>
  </si>
  <si>
    <t>Folha de Pagamento</t>
  </si>
  <si>
    <t>A.P.E. EMPREENDIMENTOS IMOBILIARIOS LTDA</t>
  </si>
  <si>
    <t>49.159.176/0001-80</t>
  </si>
  <si>
    <t>Lucro Presumido</t>
  </si>
  <si>
    <t>AGFA ADMINISTRACAO DE IMOVEIS LTDA</t>
  </si>
  <si>
    <t>63.589.579/0001-90</t>
  </si>
  <si>
    <t>AJM SERVICOS MEDICOS</t>
  </si>
  <si>
    <t>21.310.640/0001-78</t>
  </si>
  <si>
    <t>ALIFE SERVICOS MEDICOS</t>
  </si>
  <si>
    <t>48.704.485/0001-20</t>
  </si>
  <si>
    <t>ALTA VISTA TELECOMUNICACOES DO BRASIL LTDA</t>
  </si>
  <si>
    <t>26.281.885/0001-38</t>
  </si>
  <si>
    <t>ALTO SERENO EMPREENDIMENTOS IMOBILIARIOS LTDA</t>
  </si>
  <si>
    <t>16.629.179/0001-80</t>
  </si>
  <si>
    <t>AMENCO ENGENHARIA LTDA</t>
  </si>
  <si>
    <t>06.124.431/0001-46</t>
  </si>
  <si>
    <t>ASSOCIAÇÃO DOS FUNCIONÁRIOS DO SISTEMA INTEGRADO CREDIREAL</t>
  </si>
  <si>
    <t>21.597.828/0001-49</t>
  </si>
  <si>
    <t>ASSOCIACAO PROPAGADORA DA MUSICA EM JUIZ DE FORA</t>
  </si>
  <si>
    <t>21.718.330/0001-97</t>
  </si>
  <si>
    <t>ASTON TEIXEIRAS INCORPORACOES SPE LTDA</t>
  </si>
  <si>
    <t>40.283.552/0001-79</t>
  </si>
  <si>
    <t>BABY CARE PEDIATRIA</t>
  </si>
  <si>
    <t>09.377.501/0001-66</t>
  </si>
  <si>
    <t>BIGODE E XORORÓ ALIMENTOS LTDA</t>
  </si>
  <si>
    <t>18.713.826/0001-63</t>
  </si>
  <si>
    <t>BISSOLI TOLOMELLI SERVIÇOS MÉDICOS LTDA</t>
  </si>
  <si>
    <t>40.895.784/0001-88</t>
  </si>
  <si>
    <t>BMH ADMINISTRAÇÃO E EMPREENDIMENTOS IMOBILIARIOS LTDA</t>
  </si>
  <si>
    <t>10.561.539/0001-73</t>
  </si>
  <si>
    <t>BTMG COSMÉTICOS LTDA.</t>
  </si>
  <si>
    <t>14.477.305/0001-01</t>
  </si>
  <si>
    <t>BTMM COSMETICOS LTDA</t>
  </si>
  <si>
    <t>52.550.171/0001-98</t>
  </si>
  <si>
    <t>CAPELA NEGOCIOS IMOBILIARIOS LTDA</t>
  </si>
  <si>
    <t>50.746.422/0001-89</t>
  </si>
  <si>
    <t>CARDIO E CLINICA LTDA</t>
  </si>
  <si>
    <t>19.831.187/0001-01</t>
  </si>
  <si>
    <t>CARDIOCATH SERVICOS MEDICOS LTDA</t>
  </si>
  <si>
    <t>06.246.759/0001-35</t>
  </si>
  <si>
    <t>CARDIOIMAGEM CLINICA MEDICA LTDA</t>
  </si>
  <si>
    <t>04.519.423/0001-73</t>
  </si>
  <si>
    <t>CETAL - CENTRO DE TRATAMENTO DO APARELHO LOCOMOTOR LTDA</t>
  </si>
  <si>
    <t>07.457.902/0001-09</t>
  </si>
  <si>
    <t>CHACRINHA EMPREENDIMENTOS LTDA</t>
  </si>
  <si>
    <t>44.619.389/0001-23</t>
  </si>
  <si>
    <t>CHACUR EMPREENDIMENTOS E PARTICIPACOES LTDA</t>
  </si>
  <si>
    <t>24.828.499/0001-98</t>
  </si>
  <si>
    <t>CHICRALLA CHACUR PATRIMONIAL LTDA</t>
  </si>
  <si>
    <t>62.389.601/0001-95</t>
  </si>
  <si>
    <t>CIRCULO MILITAR DE JUIZ DE FORA</t>
  </si>
  <si>
    <t>21.580.642/0001-87</t>
  </si>
  <si>
    <t>CLIADI-CLINICA DO APARELHO DIGESTIVO DE JUIZ DE FORA LTDA</t>
  </si>
  <si>
    <t>02.714.031/0001-30</t>
  </si>
  <si>
    <t>CLINICA DE CIRURGIA IVAN RESENDE LTDA</t>
  </si>
  <si>
    <t>10.478.452/0001-37</t>
  </si>
  <si>
    <t>CLINICA DE MEDICINA INTERNA LTDA</t>
  </si>
  <si>
    <t>05.444.574/0001-72</t>
  </si>
  <si>
    <t>CLINICA DE OLHOS DR.ANTONIO GABRIEL LTDA</t>
  </si>
  <si>
    <t>26.123.091/0001-46</t>
  </si>
  <si>
    <t>CLINICA NOVA VISAO LTDA</t>
  </si>
  <si>
    <t>11.410.342/0001-04</t>
  </si>
  <si>
    <t>CLINICA RADIOLOGICA ROBERTO LIMA GUEDES LTDA</t>
  </si>
  <si>
    <t>20.452.207/0001-04</t>
  </si>
  <si>
    <t>CLINICA RADIOLOGICA TARCISIO LIMA GUEDES LTDA</t>
  </si>
  <si>
    <t>20.452.181/0001-02</t>
  </si>
  <si>
    <t>CLINICA SINUS - OUVIDO, NARIZ E GARGANTA LTDA</t>
  </si>
  <si>
    <t>05.411.476/0001-39</t>
  </si>
  <si>
    <t>CMIP-CENTRO MINEIRO DE PESQUISA LTDA ME</t>
  </si>
  <si>
    <t>09.144.123/0001-70</t>
  </si>
  <si>
    <t>CNI SAUDE SERVIÇOS MEDICOS</t>
  </si>
  <si>
    <t>17.088.874/0001-45</t>
  </si>
  <si>
    <t>CONDEX MATCH CAR LTDA</t>
  </si>
  <si>
    <t>39.440.836/0001-42</t>
  </si>
  <si>
    <t>CONSTRUTORA BELOI LTDA</t>
  </si>
  <si>
    <t>00.600.573/0001-56</t>
  </si>
  <si>
    <t>CONSTRUTORA FILGUEIRAS LTDA</t>
  </si>
  <si>
    <t>18.540.823/0001-75</t>
  </si>
  <si>
    <t>COTRESA S/A</t>
  </si>
  <si>
    <t>21.557.889/0001-82</t>
  </si>
  <si>
    <t>CUGOLA SERVICOS MEDICOS LTDA</t>
  </si>
  <si>
    <t>57.390.018/0001-64</t>
  </si>
  <si>
    <t>DFS2 EMPREENDIMENTOS E PARTICIPAÇÕES LTDA</t>
  </si>
  <si>
    <t>33.447.410/0001-34</t>
  </si>
  <si>
    <t>DISRUPTURA GESTAO EM SAUDE LTDA</t>
  </si>
  <si>
    <t>49.213.222/0001-81</t>
  </si>
  <si>
    <t>EDUARDO STEPHAN DE OLIVEIRA COMERCIO DE AUTOMOVEIS LTDA</t>
  </si>
  <si>
    <t>23.505.318/0001-20</t>
  </si>
  <si>
    <t>ELEVA CONSTRUCOES DE JUIZ DE FORA LTDA</t>
  </si>
  <si>
    <t>60.172.286/0001-14</t>
  </si>
  <si>
    <t>ENGINE ENGENHARIA LTDA</t>
  </si>
  <si>
    <t>06.010.713/0001-12</t>
  </si>
  <si>
    <t>ER SERVICOS MEDICOS LTDA</t>
  </si>
  <si>
    <t>47.439.737/0001-79</t>
  </si>
  <si>
    <t>ESPAÇO MARIA INES CONSULTORIA, FISIOTERAPIA E GESTÃO ADMINISTRATIVA LTDA</t>
  </si>
  <si>
    <t>09.510.127/0001-25</t>
  </si>
  <si>
    <t>GIDANE CONSULTORIA E ADMINISTRAÇÃO EDUCACIONAL LTDA</t>
  </si>
  <si>
    <t>04.308.271/0001-60</t>
  </si>
  <si>
    <t>GUERRA AMARAL EMPREENDIMENTOS IMOBILIARIOS LTDA</t>
  </si>
  <si>
    <t>54.432.749/0001-37</t>
  </si>
  <si>
    <t>GUERRA PICININI INVESTIMENTOS IMOBILIARIOS LTDA</t>
  </si>
  <si>
    <t>52.814.139/0001-72</t>
  </si>
  <si>
    <t>IGUALISE LTDA</t>
  </si>
  <si>
    <t>42.443.185/0001-59</t>
  </si>
  <si>
    <t>INSTITUTO DE ANALISES CLINICAS CARLOS CHAGAS LTDA - EPP</t>
  </si>
  <si>
    <t>20.452.470/0001-01</t>
  </si>
  <si>
    <t>IVAHY EMPREENDIMENTOS LTDA</t>
  </si>
  <si>
    <t>52.347.825/0001-80</t>
  </si>
  <si>
    <t>JACOMETTI SERVICOS MEDICOS LTDA</t>
  </si>
  <si>
    <t>26.529.358/0001-08</t>
  </si>
  <si>
    <t>JAPINTO - ADMINISTRACAO IMOVEIS LTDA</t>
  </si>
  <si>
    <t>09.079.929/0001-22</t>
  </si>
  <si>
    <t>JF PASCHOALINO SERVICOS MEDICOS LTDA</t>
  </si>
  <si>
    <t>15.647.500/0001-97</t>
  </si>
  <si>
    <t>JTL EMPREENDIMENTOS DE JUIZ DE FORA LTDA</t>
  </si>
  <si>
    <t>13.387.151/0001-96</t>
  </si>
  <si>
    <t>LCL CONSTRUCOES LTDA</t>
  </si>
  <si>
    <t>25.115.357/0001-46</t>
  </si>
  <si>
    <t>LIVA COSMETICOS E PERFUMARIA LTDA - EPP</t>
  </si>
  <si>
    <t>12.087.614/0001-31</t>
  </si>
  <si>
    <t>LNP LOGISTICA INTERNACIONAL LTDA EPP</t>
  </si>
  <si>
    <t>07.760.604/0001-85</t>
  </si>
  <si>
    <t>LUMEN - ENDOSCOPIA E CLINICA DO APARELHO DIGESTIVO LTDA</t>
  </si>
  <si>
    <t>20.917.392/0001-65</t>
  </si>
  <si>
    <t>MARCIO GARCIA PROMOCOES LTDA.</t>
  </si>
  <si>
    <t>00.375.868/0001-76</t>
  </si>
  <si>
    <t>MATA VERDE COMERCIAL AGROPECUARIA LTDA</t>
  </si>
  <si>
    <t>05.638.577/0001-47</t>
  </si>
  <si>
    <t>MGM CONSULTORIA E PARTICIPACOES LTDA</t>
  </si>
  <si>
    <t>34.348.718/0001-95</t>
  </si>
  <si>
    <t>MGP ENTRETENIMENTO LTDA</t>
  </si>
  <si>
    <t>11.660.296/0001-93</t>
  </si>
  <si>
    <t>MJ SAFIRA EMPREENDIMENTOS IMOBILIARIOS LTDA</t>
  </si>
  <si>
    <t>33.596.655/0001-23</t>
  </si>
  <si>
    <t>MOARA RESIDENCIAS LTDA</t>
  </si>
  <si>
    <t>62.982.761/0001-43</t>
  </si>
  <si>
    <t>MZC CONSTRUTORA LTDA</t>
  </si>
  <si>
    <t>58.522.042/0001-72</t>
  </si>
  <si>
    <t>NAG PROMOCOES E ADMINISTRACAO DE IMOVEIS LTDA</t>
  </si>
  <si>
    <t>07.325.906/0001-25</t>
  </si>
  <si>
    <t>NCMC DESENVOLVIMENTO DE SOFTWARE LTDA</t>
  </si>
  <si>
    <t>49.463.719/0001-58</t>
  </si>
  <si>
    <t>NOVA COMUNICACAO LTDA</t>
  </si>
  <si>
    <t>19.480.151/0001-12</t>
  </si>
  <si>
    <t>NÚCLEO CLÍNICO E CIRURGICO DE ODONTOLOGIA POS ODONTO LTDA</t>
  </si>
  <si>
    <t>08.357.296/0001-04</t>
  </si>
  <si>
    <t>OFTALMO - CENTRO DE OFTALMOLOGIA LTDA</t>
  </si>
  <si>
    <t>09.627.429/0001-88</t>
  </si>
  <si>
    <t>ORTHOS ORTOPEDIA TRAUM.E REABILITAÇÃO - EPP</t>
  </si>
  <si>
    <t>20.453.163/0001-37</t>
  </si>
  <si>
    <t>ORTRA CENTRO DE ESPECIALIDADES MEDICAS LTDA</t>
  </si>
  <si>
    <t>22.170.864/0001-94</t>
  </si>
  <si>
    <t>P.O CARONE SERVIÇOS MÉDICOS</t>
  </si>
  <si>
    <t>33.907.792/0001-31</t>
  </si>
  <si>
    <t>PARMA E CAPUTO SERVIÇOS MEDICOS LTDA</t>
  </si>
  <si>
    <t>41.553.010/0001-31</t>
  </si>
  <si>
    <t>PMMV SERVICOS MEDICOS LTDA</t>
  </si>
  <si>
    <t>49.589.805/0001-01</t>
  </si>
  <si>
    <t>PRATA RAMOS AUTOMOVEIS LTDA</t>
  </si>
  <si>
    <t>23.377.434/0001-00</t>
  </si>
  <si>
    <t>PRATA RAMOS EMPREENDIMENTOS IMOBILIARIOS S/A</t>
  </si>
  <si>
    <t>15.029.172/0001-65</t>
  </si>
  <si>
    <t>PRIME ALIMENTOS LTDA</t>
  </si>
  <si>
    <t>09.456.033/0001-15</t>
  </si>
  <si>
    <t>PROVIDENCIA ADMINISTRAÇÃO DE IMOVEIS LTDA</t>
  </si>
  <si>
    <t>04.051.062/0001-83</t>
  </si>
  <si>
    <t>QUIOSQUE LANCHES LTDA - ME</t>
  </si>
  <si>
    <t>26.395.632/0001-95</t>
  </si>
  <si>
    <t>R. SALLES COMERCIO DE ROUPAS LTDA</t>
  </si>
  <si>
    <t>23.211.630/0001-00</t>
  </si>
  <si>
    <t>RAFAEL PAZINATTO - CLINICA DE REABILITAÇÃO ORAL ESTETICA E TREINAMENTO LTDA</t>
  </si>
  <si>
    <t>36.599.219/0001-04</t>
  </si>
  <si>
    <t>RRLM ADMINISTRADORA DE BENS LTDA</t>
  </si>
  <si>
    <t>09.299.784/0001-75</t>
  </si>
  <si>
    <t>SABINEST - CLINICA MEDICA DE ANESTESIOLOGISTA DO HOSPITAL ALBERT SABIN LTDA</t>
  </si>
  <si>
    <t>26.144.014/0001-72</t>
  </si>
  <si>
    <t>SACE-SERV DE ARRITIMIA, CARDIOLOGIA E ELETROFISIOLIGIA LTDA</t>
  </si>
  <si>
    <t>03.691.545/0001-80</t>
  </si>
  <si>
    <t>SAGA GESTAO PATRIMONIAL LTDA</t>
  </si>
  <si>
    <t>55.959.033/0001-55</t>
  </si>
  <si>
    <t>SCP VASTO CASAS EM CONDOMINIO</t>
  </si>
  <si>
    <t>SEJA LEGAL - GESTAO DE MARCAS E FRANQUIAS LTDA</t>
  </si>
  <si>
    <t>30.982.624/0001-12</t>
  </si>
  <si>
    <t>SEMA SERVICOS MEDICOS DE ANESTESIA</t>
  </si>
  <si>
    <t>04.090.281/0001-71</t>
  </si>
  <si>
    <t>SIND DOS TRAB EMP BRA DE CORR E TELEG E SUAS CONCES, FRANQ</t>
  </si>
  <si>
    <t>21.181.375/0001-75</t>
  </si>
  <si>
    <t>SIND.DOS SERVIDORES PUBLICOS MUNICIPAIS</t>
  </si>
  <si>
    <t>21.181.276/0001-93</t>
  </si>
  <si>
    <t>SIND.TRAB.TEC.ADM.EM EDUC.DAS INST.FED.DE ENSINO NO MUN.JF</t>
  </si>
  <si>
    <t>17.149.261/0001-70</t>
  </si>
  <si>
    <t>SOLUS - NUCLEO AVANÇADO DE TRATAMENTO ONCOLOGICO LTDA</t>
  </si>
  <si>
    <t>17.066.388/0001-26</t>
  </si>
  <si>
    <t>SOLUS - NUCLEO AVANCADO DE TRATAMENTO ONCOLOGICO SCP</t>
  </si>
  <si>
    <t>SOLUS PARTICIPAÇÕES LTDA</t>
  </si>
  <si>
    <t>48.721.944/0001-84</t>
  </si>
  <si>
    <t>SOLUS UBA - NUCLEO AVANCADO DE TRATAMENTO ONCOLOGICO LTDA</t>
  </si>
  <si>
    <t>48.964.816/0001-61</t>
  </si>
  <si>
    <t>STRUTTURA EDITORA E CERIMONIAIS EIRELI</t>
  </si>
  <si>
    <t>07.248.908/0001-68</t>
  </si>
  <si>
    <t>TAMIL ONCOLOGIA</t>
  </si>
  <si>
    <t>30.749.914/0001-10</t>
  </si>
  <si>
    <t>TFS EMPREENDIMENTOS IMOBILIARIOS LTDA</t>
  </si>
  <si>
    <t>51.653.709/0001-27</t>
  </si>
  <si>
    <t>UROLOGIQUE SERVICOS MEDICOS</t>
  </si>
  <si>
    <t>08.078.146/0001-61</t>
  </si>
  <si>
    <t>VASTO INCORPORADORA LTDA</t>
  </si>
  <si>
    <t>56.660.763/0001-13</t>
  </si>
  <si>
    <t>VIDIGAL PRESTAÇÃO DE SERVIÇOS MEDICOS</t>
  </si>
  <si>
    <t>48.546.223/0001-85</t>
  </si>
  <si>
    <t>WGS SERVIÇOS DE INFORMÁTICA E COM. DE PROD. ELETRÔNICOS LTDA</t>
  </si>
  <si>
    <t>07.786.850/0001-06</t>
  </si>
  <si>
    <t>ZEMAQ EQUIPAMENTOS E SERVICOS LTDA - EPP</t>
  </si>
  <si>
    <t>71.353.874/0001-70</t>
  </si>
  <si>
    <t>Lucro Real</t>
  </si>
  <si>
    <t>BTCA COSMÉTICOS LTDA</t>
  </si>
  <si>
    <t>57.189.430/0001-10</t>
  </si>
  <si>
    <t>CENTRO DE INVEST DIAG CARDIOVASCULAR DIGITAL J FORA LTDA</t>
  </si>
  <si>
    <t>01.794.706/0001-35</t>
  </si>
  <si>
    <t>CLÍNICA DE OLHOS BOM PASTOR</t>
  </si>
  <si>
    <t>13.882.960/0001-74</t>
  </si>
  <si>
    <t>HOSPITAL EVANDRO RIBEIRO LTDA</t>
  </si>
  <si>
    <t>21.177.373/0001-02</t>
  </si>
  <si>
    <t>PREMIER PARC  HOTEL LTDA</t>
  </si>
  <si>
    <t>04.707.666/0001-35</t>
  </si>
  <si>
    <t>STUDIO DE APLICATIVOS LTDA</t>
  </si>
  <si>
    <t>24.766.752/0001-26</t>
  </si>
  <si>
    <t>YENDES INDUSTRIA E COMERCIO DE PERSIANAS LTDA</t>
  </si>
  <si>
    <t>01.414.682/0001-41</t>
  </si>
  <si>
    <t xml:space="preserve"> HEUDER SANTANA PONTES FIALHO</t>
  </si>
  <si>
    <t>064.881.396-73</t>
  </si>
  <si>
    <t>Outros</t>
  </si>
  <si>
    <t xml:space="preserve"> RAFAELA BREIJAO DE MELO</t>
  </si>
  <si>
    <t>052.011.536-82</t>
  </si>
  <si>
    <t>39.232.411 LETICIA CARDOZO DE MELO CAMPOS</t>
  </si>
  <si>
    <t>39.232.411/0001-48</t>
  </si>
  <si>
    <t>47.053.136 RENATA BRAGA LEITE</t>
  </si>
  <si>
    <t>47.053.136/0001-23</t>
  </si>
  <si>
    <t>ALEXANDRE REZENDE MARUFF</t>
  </si>
  <si>
    <t>20.485.908/0001-40</t>
  </si>
  <si>
    <t>21.185.954/0001-96</t>
  </si>
  <si>
    <t>ASSOC PROPRIETARIOS MORADORES BAIRRO BOSQUE IMPERADOR</t>
  </si>
  <si>
    <t>20.460.267/0001-79</t>
  </si>
  <si>
    <t>ASSOC.DOS FUNC.APOSENTADOS DO BANCO CREDITO REAL</t>
  </si>
  <si>
    <t>ASSOCIACAO BRASILEIRA DE EDUCACAO MUSICAL ABEM</t>
  </si>
  <si>
    <t>63.189.948/0001-57</t>
  </si>
  <si>
    <t>EMPREENDIMENTOS ESPORTIVOS BEIRE LTDA</t>
  </si>
  <si>
    <t>02.425.670/0001-85</t>
  </si>
  <si>
    <t>IMEPP - ATENDIMENTO SOCIOASSISTENCIAL</t>
  </si>
  <si>
    <t>17.688.094/0001-36</t>
  </si>
  <si>
    <t>INSTITUTO DE ESTUDO E PESQUISA CLÍNICA DE JUIZ DE FORA LTDA</t>
  </si>
  <si>
    <t>62.659.550/0001-74</t>
  </si>
  <si>
    <t>ISO - INSTITUTO DE SAÚDE OCUPACIONAL LTDA</t>
  </si>
  <si>
    <t>05.650.104/0001-65</t>
  </si>
  <si>
    <t>MEIRY APARECIDA DA SILVA</t>
  </si>
  <si>
    <t>477.486.136-72</t>
  </si>
  <si>
    <t>RAFEFA SERVIÇOS E FESTAS LTDA</t>
  </si>
  <si>
    <t>26.125.955/0001-69</t>
  </si>
  <si>
    <t>RINOBOT TEAM - EQUIPE DE COMPETICAO DA UNIVERSIDADE FEDERAL DE JUIZ DE FORA (UFJF)</t>
  </si>
  <si>
    <t>31.535.911/0001-47</t>
  </si>
  <si>
    <t>TECERA AGENCIA DE VIAGENS E TURISMO LTDA</t>
  </si>
  <si>
    <t>66.280.611/0001-49</t>
  </si>
  <si>
    <t>15.378.340 PAULO DOS SANTOS FERREIRA</t>
  </si>
  <si>
    <t>15.378.340/0001-28</t>
  </si>
  <si>
    <t>Simples Nacional</t>
  </si>
  <si>
    <t>ADA REPRESENTAÇÕES LTDA</t>
  </si>
  <si>
    <t>20.333.852/0001-08</t>
  </si>
  <si>
    <t>AE SAUDE LTDA</t>
  </si>
  <si>
    <t>55.702.398/0001-08</t>
  </si>
  <si>
    <t>ALEIXO &amp; MENDES LOCAÇÃO DE MATERIAIS PARA EVENTOS E FESTAS LTDA</t>
  </si>
  <si>
    <t>34.158.092/0001-54</t>
  </si>
  <si>
    <t>ALMEIDA VILLELA DIGITAL LTDA</t>
  </si>
  <si>
    <t>54.186.612/0001-40</t>
  </si>
  <si>
    <t>ALMEIDA VILLELA PSQUIATRIA LTDA</t>
  </si>
  <si>
    <t>59.706.086/0001-15</t>
  </si>
  <si>
    <t>ALTAVISTA INTERNET LTDA</t>
  </si>
  <si>
    <t>57.314.342/0001-01</t>
  </si>
  <si>
    <t>AMMA CLÍNICA DE FISIOTERAPIA LTDA ME</t>
  </si>
  <si>
    <t>38.032.368/0001-04</t>
  </si>
  <si>
    <t>ANGELO E FERRARI ADMINISTRACAO  DE CONDOMINIOS LTDA</t>
  </si>
  <si>
    <t>10.850.526/0001-14</t>
  </si>
  <si>
    <t>ANTONIO DE PAULA CUNHA - ME</t>
  </si>
  <si>
    <t>20.429.825/0001-33</t>
  </si>
  <si>
    <t>APOLINARIO SERVICOS MEDICOS LTDA</t>
  </si>
  <si>
    <t>53.155.679/0001-54</t>
  </si>
  <si>
    <t>ARTHUR BASSOLLI LARCHER LIMA LTDA</t>
  </si>
  <si>
    <t>52.829.697/0001-01</t>
  </si>
  <si>
    <t>AX3 INFRAESTRUTURA E TECNOLOGIA LTDA</t>
  </si>
  <si>
    <t>53.588.681/0001-17</t>
  </si>
  <si>
    <t>B.FLOW CONSULTORIA LTDA</t>
  </si>
  <si>
    <t>31.446.338/0001-03</t>
  </si>
  <si>
    <t>BAMBOOFLEX INDUSTRIA E COMERCIO LTDA</t>
  </si>
  <si>
    <t>54.233.522/0001-62</t>
  </si>
  <si>
    <t>BAR E MERCEARIA PANTOMINAS LTDA</t>
  </si>
  <si>
    <t>41.679.713/0001-00</t>
  </si>
  <si>
    <t>BARRA SERVICOS ADMINISTRATIVOS LTDA</t>
  </si>
  <si>
    <t>63.477.532/0001-34</t>
  </si>
  <si>
    <t>BASTOS SOCIEDADE DE ADVOGADOS</t>
  </si>
  <si>
    <t>08.684.718/0001-56</t>
  </si>
  <si>
    <t>BELGA CONSULTORIA E SERVICOS LTDA</t>
  </si>
  <si>
    <t>51.473.998/0001-82</t>
  </si>
  <si>
    <t>BELLE VIE SAUDE E MEDICINA LTDA</t>
  </si>
  <si>
    <t>41.706.837/0001-38</t>
  </si>
  <si>
    <t>CASA GODINHO LTDA - ME</t>
  </si>
  <si>
    <t>21.571.211/0001-54</t>
  </si>
  <si>
    <t>CASTRO NEUROLOGIA PEDIATRICA LTDA</t>
  </si>
  <si>
    <t>34.816.392/0001-83</t>
  </si>
  <si>
    <t>CENTRO DE DIAG. POR IMAGENS DR RENATO RANGEL GUSMAO LTDA</t>
  </si>
  <si>
    <t>08.052.298/0001-95</t>
  </si>
  <si>
    <t>CENTRO MÉDICO DE DERMATOLOGIA E PEQUENAS CIRURGIAS LTDA</t>
  </si>
  <si>
    <t>07.776.272/0001-27</t>
  </si>
  <si>
    <t>CLINICA CIRURGICA E OBSTETRICA SAO LUCAS</t>
  </si>
  <si>
    <t>23.830.857/0001-34</t>
  </si>
  <si>
    <t>CLINICA DE ESPECIALIDADES ORTOPEDICAS LTDA</t>
  </si>
  <si>
    <t>08.431.422/0001-23</t>
  </si>
  <si>
    <t>CLINICA DE NUTRIÇAO ANDREA SANTA ROSA GARCIA LTDA</t>
  </si>
  <si>
    <t>11.283.627/0001-13</t>
  </si>
  <si>
    <t>CLINICA DE OFTALMOLOGIA DRA. LAVINIA LEITAO BANDEIRA LTDA</t>
  </si>
  <si>
    <t>97.520.529/0001-78</t>
  </si>
  <si>
    <t>CLINICA NAYARA BORGES LTDA</t>
  </si>
  <si>
    <t>62.901.849/0001-93</t>
  </si>
  <si>
    <t>CLINICA VISAO LTDA</t>
  </si>
  <si>
    <t>21.967.407/0001-62</t>
  </si>
  <si>
    <t>CLINICA VITA LTDA</t>
  </si>
  <si>
    <t>35.626.083/0001-03</t>
  </si>
  <si>
    <t>COMERCIAL E SERVICOS E &amp; M LTDA.</t>
  </si>
  <si>
    <t>10.703.388/0001-40</t>
  </si>
  <si>
    <t>COMERCIO DE PRESENTES EAMES LTDA</t>
  </si>
  <si>
    <t>20.626.465/0001-60</t>
  </si>
  <si>
    <t>CONSTRUMACHADO &amp; MACHADO LTDA</t>
  </si>
  <si>
    <t>05.658.937/0001-72</t>
  </si>
  <si>
    <t>COP FISIOTERAPIA LTDA</t>
  </si>
  <si>
    <t>04.535.508/0001-45</t>
  </si>
  <si>
    <t>CTBS NEGOCIOS LTDA</t>
  </si>
  <si>
    <t>27.734.960/0001-31</t>
  </si>
  <si>
    <t>D DA SILVA OLIVEIRA</t>
  </si>
  <si>
    <t>47.703.965/0001-04</t>
  </si>
  <si>
    <t>DEBORA C S ALMEIDA PSICOLOGIA LTDA</t>
  </si>
  <si>
    <t>53.911.003/0001-43</t>
  </si>
  <si>
    <t>DEC MOVEIS PARA ESCRITORIO E INFORMATICA LTDA - EPP</t>
  </si>
  <si>
    <t>21.600.655/0001-70</t>
  </si>
  <si>
    <t>DIGIMED FATURAMENTO MEDICO LTDA</t>
  </si>
  <si>
    <t>28.605.039/0001-51</t>
  </si>
  <si>
    <t>DISTRIBUIDORA GIGI LTDA</t>
  </si>
  <si>
    <t>19.003.441/0001-75</t>
  </si>
  <si>
    <t>DUCAVI COMERCIO DE ROUPAS LTDA</t>
  </si>
  <si>
    <t>07.018.321/0001-62</t>
  </si>
  <si>
    <t>E.C. CONSTRUÇÕES E SERVIÇOS LTDA ME</t>
  </si>
  <si>
    <t>10.874.703/0001-00</t>
  </si>
  <si>
    <t>E.T.C. EDITORA  LTDA-ME</t>
  </si>
  <si>
    <t>04.678.115/0001-90</t>
  </si>
  <si>
    <t>E.X.C. COMERCIO DE BIJOUTERIAS LTDA- ME</t>
  </si>
  <si>
    <t>10.196.953/0001-20</t>
  </si>
  <si>
    <t>EBX MOVEIS E CADEIRAS LTDA</t>
  </si>
  <si>
    <t>15.124.617/0001-96</t>
  </si>
  <si>
    <t>EMBELEZARTE CIRURGIA PLASTICA LTDA</t>
  </si>
  <si>
    <t>51.272.917/0001-86</t>
  </si>
  <si>
    <t>ENDOCRINOLOGIA E CLINICA MEDICA BOR LTDA</t>
  </si>
  <si>
    <t>50.485.391/0001-50</t>
  </si>
  <si>
    <t>ERRICHTEN PROJETOS E CONSTRUÇÕES LTDA</t>
  </si>
  <si>
    <t>05.644.147/0001-38</t>
  </si>
  <si>
    <t>ESPACO PLENA MENTE LTDA</t>
  </si>
  <si>
    <t>50.340.549/0001-01</t>
  </si>
  <si>
    <t>ESTACIONAMENTO BOA VISTA LTDA</t>
  </si>
  <si>
    <t>57.243.348/0001-27</t>
  </si>
  <si>
    <t>ESTACIONAMENTO LANCINI LTDA</t>
  </si>
  <si>
    <t>03.918.636/0001-05</t>
  </si>
  <si>
    <t>ESTILLO LIVRE MOVEIS LTDA</t>
  </si>
  <si>
    <t>25.818.311/0001-93</t>
  </si>
  <si>
    <t>EVENTUALE LOCAÇÃO DE MÓVEIS E ACESSÓRIOS LTDA</t>
  </si>
  <si>
    <t>31.401.614/0001-09</t>
  </si>
  <si>
    <t>FABIANA MENDES AGENCIA DE VIAGENS E TURISMO LTDA</t>
  </si>
  <si>
    <t>07.282.505/0001-35</t>
  </si>
  <si>
    <t>FITNESS COMPANY ARTIGOS ESPORTIVOS LTDA</t>
  </si>
  <si>
    <t>00.584.377/0001-35</t>
  </si>
  <si>
    <t>FORTI MAC LOCACAO DE MAQUINAS E EQUIPAMENTOS LTDA</t>
  </si>
  <si>
    <t>03.090.617/0001-33</t>
  </si>
  <si>
    <t>FORTUNA INFORMATICA E PROJETOS LTDA</t>
  </si>
  <si>
    <t>03.225.310/0001-00</t>
  </si>
  <si>
    <t>GABRIEL SIQUEIRA SERVICO E CONSULTORIA LTDA</t>
  </si>
  <si>
    <t>37.895.990/0001-83</t>
  </si>
  <si>
    <t>GAIA GESTAO EMPRESARIAL LTDA</t>
  </si>
  <si>
    <t>61.243.924/0001-03</t>
  </si>
  <si>
    <t>GERIATRIA ATENDIMENTO MÉDICO LTDA</t>
  </si>
  <si>
    <t>62.157.331/0001-97</t>
  </si>
  <si>
    <t>GUELFO SOLUCOES ADMINISTRATIVAS E TI LTDA</t>
  </si>
  <si>
    <t>42.216.925/0001-14</t>
  </si>
  <si>
    <t>HCR MECANICA ESPECIALIZADA LTDA</t>
  </si>
  <si>
    <t>24.275.799/0001-97</t>
  </si>
  <si>
    <t>HEMATOMED LTDA</t>
  </si>
  <si>
    <t>54.908.913/0001-30</t>
  </si>
  <si>
    <t>HIDROFISIO - CENTRO DE REABILITACAO INTEGRADO LTDA</t>
  </si>
  <si>
    <t>03.688.469/0001-53</t>
  </si>
  <si>
    <t>HIVE MKT LTDA</t>
  </si>
  <si>
    <t>43.361.895/0001-00</t>
  </si>
  <si>
    <t>HSA CONSULTORIA LTDA</t>
  </si>
  <si>
    <t>00.786.685/0001-43</t>
  </si>
  <si>
    <t>IMPERIALE LTDA</t>
  </si>
  <si>
    <t>38.417.644/0001-52</t>
  </si>
  <si>
    <t>INLAB PROTESE DENTARIA LTDA</t>
  </si>
  <si>
    <t>40.128.235/0001-88</t>
  </si>
  <si>
    <t>INSTITUTO DA VISÃO DE JUIZ DE FORA LTDA</t>
  </si>
  <si>
    <t>34.115.007/0001-70</t>
  </si>
  <si>
    <t>INTERNI ARQUITETURA LTDA</t>
  </si>
  <si>
    <t>60.935.007/0001-27</t>
  </si>
  <si>
    <t>ISO - INSTITUTO DE SAUDE OCUPACIONAL LTDA</t>
  </si>
  <si>
    <t>J.M. DINIZ CONFECÇÕES DE ROUPAS LTDA - ME</t>
  </si>
  <si>
    <t>08.517.787/0001-75</t>
  </si>
  <si>
    <t>07.316.990/0001-10</t>
  </si>
  <si>
    <t>JF NORTE VIAGENS LTDA</t>
  </si>
  <si>
    <t>42.652.998/0001-59</t>
  </si>
  <si>
    <t>JF PASSOS VIAGENS LTDA - EPP</t>
  </si>
  <si>
    <t>18.700.269/0001-46</t>
  </si>
  <si>
    <t>JJCL COMERCIO LTDA</t>
  </si>
  <si>
    <t>14.055.522/0001-03</t>
  </si>
  <si>
    <t>JR FIT PERSONAL LTDA</t>
  </si>
  <si>
    <t>41.903.020/0001-50</t>
  </si>
  <si>
    <t>JSSJ SOLUCOES DIGITAIS LTDA</t>
  </si>
  <si>
    <t>35.229.596/0001-80</t>
  </si>
  <si>
    <t>JT CLINICA ODONTOLOGICA LTDA</t>
  </si>
  <si>
    <t>63.198.789/0001-57</t>
  </si>
  <si>
    <t>KAROLINE MONTEIRO KAIZER</t>
  </si>
  <si>
    <t>24.441.570/0001-85</t>
  </si>
  <si>
    <t>KRAFT INVEST LTDA</t>
  </si>
  <si>
    <t>33.320.543/0001-45</t>
  </si>
  <si>
    <t>L V INDUSTRIA E COMERCIO DE ROUPAS LTDA</t>
  </si>
  <si>
    <t>19.831.216/0001-27</t>
  </si>
  <si>
    <t>LABORATORIO PROTESE DA DALT SOUZA LTDA</t>
  </si>
  <si>
    <t>26.124.800/0001-08</t>
  </si>
  <si>
    <t>LAC PRESTAÇÃO DE SERVIÇOS MÉDICOS LTDA</t>
  </si>
  <si>
    <t>58.518.873/0001-70</t>
  </si>
  <si>
    <t>LACD ENGENHARIA E SERVIÇOS DE ESCRITÓRIO COMBINADOS</t>
  </si>
  <si>
    <t>41.661.776/0001-30</t>
  </si>
  <si>
    <t>LCG CONSULTORIA E SERVICOS LTDA</t>
  </si>
  <si>
    <t>62.791.427/0001-02</t>
  </si>
  <si>
    <t>LEIKA PRESTAÇÃO DE SERVIÇOS LTDA EPP</t>
  </si>
  <si>
    <t>65.308.397/0001-29</t>
  </si>
  <si>
    <t>LEORRO MEDICAMENTOS LTDA</t>
  </si>
  <si>
    <t>34.896.131/0001-10</t>
  </si>
  <si>
    <t>LOCAL LOCACAO CORRETAGEM E ADMINISTRACAO LTDA</t>
  </si>
  <si>
    <t>17.148.263/0001-45</t>
  </si>
  <si>
    <t>LUCAS BARRA MATHIASI SERVICOS MEDICOS LTDA</t>
  </si>
  <si>
    <t>53.363.629/0001-62</t>
  </si>
  <si>
    <t>LUCTEC COMERCIO DE MATERIAIS ELETRICOS LTDA</t>
  </si>
  <si>
    <t>28.210.024/0001-94</t>
  </si>
  <si>
    <t>M COELHO REPRESENTAÇÕES LTDA</t>
  </si>
  <si>
    <t>26.323.394/0001-02</t>
  </si>
  <si>
    <t>MAIL BOX SERVICOS DE COMUNICACAO LTDA - EPP</t>
  </si>
  <si>
    <t>86.555.109/0001-00</t>
  </si>
  <si>
    <t>MARA PEDROSA FISIO LTDA</t>
  </si>
  <si>
    <t>59.157.055/0001-52</t>
  </si>
  <si>
    <t>MECPEL PAPELARIA E LIVRARIA LTDA - EPP</t>
  </si>
  <si>
    <t>05.110.163/0001-40</t>
  </si>
  <si>
    <t>MENDES MORAES SERVIÇOS MEDICOS LTDA</t>
  </si>
  <si>
    <t>15.119.666/0001-30</t>
  </si>
  <si>
    <t>MG MEDICAL COMERCIO DE PRODUTOS MEDICO HOSPITALARES LTDA ME</t>
  </si>
  <si>
    <t>23.154.762/0001-48</t>
  </si>
  <si>
    <t>MINAS GONZAGA REPRESENTAÇÕES E DECORAÇÃO DE INTERIORES LTDA</t>
  </si>
  <si>
    <t>05.443.587/0001-27</t>
  </si>
  <si>
    <t>ML ENGENHARIA E CONSULTORIA LTDA</t>
  </si>
  <si>
    <t>53.106.998/0001-70</t>
  </si>
  <si>
    <t>MOBILIADORA NOVA LTDA</t>
  </si>
  <si>
    <t>20.448.866/0001-77</t>
  </si>
  <si>
    <t>MONTANO LTDA</t>
  </si>
  <si>
    <t>55.742.996/0001-00</t>
  </si>
  <si>
    <t>MUNDO MAGICO BRINQUEDOS E ENXOVAIS LTDA</t>
  </si>
  <si>
    <t>09.586.510/0001-67</t>
  </si>
  <si>
    <t>OFICINA BARBOSA LIMA LTDA EPP</t>
  </si>
  <si>
    <t>19.581.396/0001-36</t>
  </si>
  <si>
    <t>OFICINA DAS LETRAS ENSINO DE LÍNGUAS E CULTURA LTDA</t>
  </si>
  <si>
    <t>10.755.514/0001-00</t>
  </si>
  <si>
    <t>ORTOPEDIA H. B. LTDA - ME</t>
  </si>
  <si>
    <t>23.045.949/0001-03</t>
  </si>
  <si>
    <t>OTICA E ETICA LTDA</t>
  </si>
  <si>
    <t>03.390.489/0001-43</t>
  </si>
  <si>
    <t>PADARIA CHUMBINHO LTDA - ME</t>
  </si>
  <si>
    <t>11.406.197/0001-80</t>
  </si>
  <si>
    <t>PADARIA E CONFEITARIA MIL E UMA OPÇAO LTDA-ME</t>
  </si>
  <si>
    <t>08.080.959/0001-96</t>
  </si>
  <si>
    <t>PADARIA E SALGADERIA DIAS E SILVA LTDA</t>
  </si>
  <si>
    <t>47.350.636/0001-27</t>
  </si>
  <si>
    <t>PCV PRESTAÇÃO DE SERVIÇOS MÉDICOS LTDA</t>
  </si>
  <si>
    <t>59.696.043/0001-04</t>
  </si>
  <si>
    <t>PEDRO FLEMING SCREEN GRAPHICS LTDA</t>
  </si>
  <si>
    <t>57.777.140/0001-98</t>
  </si>
  <si>
    <t>PET CLIN CLINICA VETERINARIA LTDA</t>
  </si>
  <si>
    <t>00.904.343/0001-80</t>
  </si>
  <si>
    <t>PICININI TREINAMENTO E DESENVOLVIMENTO PROFISSIONAL LTDA</t>
  </si>
  <si>
    <t>50.019.455/0001-27</t>
  </si>
  <si>
    <t>PLASTIC CENTER – CLÍNICA DE CIRURGIA PLÁSTICA LTDA</t>
  </si>
  <si>
    <t>21.177.159/0001-56</t>
  </si>
  <si>
    <t>POINT PARKING ESTACIONAMENTO LTDA</t>
  </si>
  <si>
    <t>07.312.319/0001-00</t>
  </si>
  <si>
    <t>POS - ODONTO SUPREMA TREINAMENTO EM DESENVOLVIMENTO PROFISSI</t>
  </si>
  <si>
    <t>21.739.092/0001-04</t>
  </si>
  <si>
    <t>PREMIER EVENTOS LTDA - EPP</t>
  </si>
  <si>
    <t>29.455.927/0001-06</t>
  </si>
  <si>
    <t>PRIME SERVIÇOS MÉDICOS LTDA</t>
  </si>
  <si>
    <t>10.616.864/0001-96</t>
  </si>
  <si>
    <t>PROANEST LTDA</t>
  </si>
  <si>
    <t>56.903.729/0001-22</t>
  </si>
  <si>
    <t>PWA SERVICOS MEDICOS</t>
  </si>
  <si>
    <t>27.021.628/0001-20</t>
  </si>
  <si>
    <t>QUALITY LAR E LAZER LTDA ME</t>
  </si>
  <si>
    <t>05.337.114/0001-45</t>
  </si>
  <si>
    <t>R. S. L. REPRESENTACAO COMERCIAL LTDA</t>
  </si>
  <si>
    <t>44.979.535/0001-21</t>
  </si>
  <si>
    <t>RAFAELA BREIJAO DE MELO - SERVICOS MEDICOS LTDA</t>
  </si>
  <si>
    <t>35.536.602/0001-42</t>
  </si>
  <si>
    <t>RAIMUNDO NONATO DOS SANTOS FERREIRA</t>
  </si>
  <si>
    <t>15.378.512/0001-63</t>
  </si>
  <si>
    <t>RAQUEL CARVALHO DIAS E SILVA 08233634654</t>
  </si>
  <si>
    <t>30.199.735/0001-57</t>
  </si>
  <si>
    <t>REZENDE PROMOCAO EM VENDAS E SERVICOS ADMINISTRATIVOS LTDA</t>
  </si>
  <si>
    <t>63.836.085/0001-62</t>
  </si>
  <si>
    <t>RIBEIRO DE OLIVEIRA &amp; CIA LTDA</t>
  </si>
  <si>
    <t>21.562.897/0001-17</t>
  </si>
  <si>
    <t>RIO WORK SERVIÇOS ADMINISTRATIVOS LTDA</t>
  </si>
  <si>
    <t>34.007.165/0001-07</t>
  </si>
  <si>
    <t>RJT NASCIMENTO LTDA</t>
  </si>
  <si>
    <t>58.567.545/0001-64</t>
  </si>
  <si>
    <t>RPC SERVICOS LTDA</t>
  </si>
  <si>
    <t>42.399.580/0001-81</t>
  </si>
  <si>
    <t>SALGADERIA BARUC LTDA</t>
  </si>
  <si>
    <t>44.426.115/0001-18</t>
  </si>
  <si>
    <t>SALGADERIA LE BARUC LTDA</t>
  </si>
  <si>
    <t>23.885.580/0001-47</t>
  </si>
  <si>
    <t>SAO PEDRO VIAGENS LTDA - EPP</t>
  </si>
  <si>
    <t>29.982.793/0001-73</t>
  </si>
  <si>
    <t>SOLUCAO ASSESSORIA EMPRESARIAL LTDA</t>
  </si>
  <si>
    <t>02.787.529/0001-22</t>
  </si>
  <si>
    <t>SOUZA MAGALHÃES SOCIEDADE INDIVIDUAL DE ADVOCACIA</t>
  </si>
  <si>
    <t>41.983.338/0001-98</t>
  </si>
  <si>
    <t>SSA COMERCIO DE BIJOUTERIAS LTDA - ME</t>
  </si>
  <si>
    <t>11.709.906/0001-04</t>
  </si>
  <si>
    <t>STUDIO DE DESENVOLVIMENTO DE APLICATIVOS LTDA</t>
  </si>
  <si>
    <t>54.014.989/0001-11</t>
  </si>
  <si>
    <t>SUPERMERCADO SÃO BENEDITO LTDA - EPP</t>
  </si>
  <si>
    <t>64.439.086/0001-36</t>
  </si>
  <si>
    <t>SURYA ECO&amp;ART</t>
  </si>
  <si>
    <t>19.996.494/0001-34</t>
  </si>
  <si>
    <t>THERNO ALUGUEL TRAJE LTDA</t>
  </si>
  <si>
    <t>39.783.158/0001-10</t>
  </si>
  <si>
    <t>TIVOLI JOIAS E RELOGIOS LTDA</t>
  </si>
  <si>
    <t>13.265.299/0001-58</t>
  </si>
  <si>
    <t>TW SERVICOS MEDICOS LTDA</t>
  </si>
  <si>
    <t>54.941.856/0001-90</t>
  </si>
  <si>
    <t>UAI ZOO HOSPITAL VETERINARIO LTDA</t>
  </si>
  <si>
    <t>55.895.892/0001-28</t>
  </si>
  <si>
    <t>UNICARDIO SERVIÇOS MEDICOS</t>
  </si>
  <si>
    <t>05.436.280/0001-07</t>
  </si>
  <si>
    <t>UROGEN - CLINICA UROLOGICA DR FABIANO SPADA LTDA</t>
  </si>
  <si>
    <t>29.776.290/0001-41</t>
  </si>
  <si>
    <t>VARDIERO SAUDE LTDA</t>
  </si>
  <si>
    <t>44.839.673/0001-05</t>
  </si>
  <si>
    <t>VHESTI ALUGUEL DE VESTIDOS LTDA</t>
  </si>
  <si>
    <t>63.534.785/0001-00</t>
  </si>
  <si>
    <t>24.478.303/0001-82</t>
  </si>
  <si>
    <t>VIA SUL SERVIÇOS LTDA</t>
  </si>
  <si>
    <t>05.731.182/0001-94</t>
  </si>
  <si>
    <t>VISION CLINIC LTDA - ME</t>
  </si>
  <si>
    <t>28.427.778/0001-09</t>
  </si>
  <si>
    <t>VM PARK LTDA</t>
  </si>
  <si>
    <t>55.852.417/0001-74</t>
  </si>
  <si>
    <t>WA-RIO REPRESENTACOES LTDA ME</t>
  </si>
  <si>
    <t>71.155.717/0001-50</t>
  </si>
  <si>
    <t>Razão social</t>
  </si>
  <si>
    <t>Risco fiscal</t>
  </si>
  <si>
    <t>Posicionamento estratégico</t>
  </si>
  <si>
    <t>Nível de automação</t>
  </si>
  <si>
    <t>honorário atual</t>
  </si>
  <si>
    <t>Segmento</t>
  </si>
  <si>
    <t>honorário médio sugerido</t>
  </si>
  <si>
    <t>Planilha/extrato</t>
  </si>
  <si>
    <t>baixo</t>
  </si>
  <si>
    <t>Médio</t>
  </si>
  <si>
    <t>médio</t>
  </si>
  <si>
    <t>sem sistema</t>
  </si>
  <si>
    <t>alto</t>
  </si>
  <si>
    <t>VIA SAPEKAS JUIX ARTIGOS INFANTIS LTDA</t>
  </si>
  <si>
    <t>JF ESCRITA ARTIGOS PARA ESCRITORIO LTDA</t>
  </si>
  <si>
    <t>olhar</t>
  </si>
  <si>
    <t>Acho que o fatur</t>
  </si>
  <si>
    <t>Imobiliário</t>
  </si>
  <si>
    <t>imobiliário</t>
  </si>
  <si>
    <t>Saúde</t>
  </si>
  <si>
    <t>Serviços</t>
  </si>
  <si>
    <t>Alimentação</t>
  </si>
  <si>
    <t>Comércio</t>
  </si>
  <si>
    <t>Indústria</t>
  </si>
  <si>
    <t>R$ 825,00</t>
  </si>
  <si>
    <t>R$ 800,00</t>
  </si>
  <si>
    <t>R$ 1.387,00</t>
  </si>
</sst>
</file>

<file path=xl/styles.xml><?xml version="1.0" encoding="utf-8"?>
<styleSheet xmlns="http://schemas.openxmlformats.org/spreadsheetml/2006/main">
  <numFmts count="3">
    <numFmt numFmtId="7" formatCode="&quot;R$&quot;\ #,##0.00;\-&quot;R$&quot;\ #,##0.00"/>
    <numFmt numFmtId="8" formatCode="&quot;R$&quot;\ #,##0.00;[Red]\-&quot;R$&quot;\ #,##0.00"/>
    <numFmt numFmtId="164" formatCode="&quot;R$&quot;\ #,##0.00"/>
  </numFmts>
  <fonts count="4">
    <font>
      <sz val="11"/>
      <name val="Calibri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7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7" fontId="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Valor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Worksheet"/>
    </sheetNames>
    <sheetDataSet>
      <sheetData sheetId="0">
        <row r="1">
          <cell r="A1" t="str">
            <v>AMENCO ENGENHARIA LTDA</v>
          </cell>
          <cell r="B1" t="str">
            <v>R$ 266,00</v>
          </cell>
        </row>
        <row r="2">
          <cell r="A2" t="str">
            <v>CLINICA NOVA VISAO LTDA</v>
          </cell>
          <cell r="B2" t="str">
            <v>R$ 1.920,00</v>
          </cell>
        </row>
        <row r="3">
          <cell r="A3" t="str">
            <v>ASSOC FUNCS APOSENTADOS BCO CREDITO REAL MG SA JF ASFAC</v>
          </cell>
          <cell r="B3" t="str">
            <v>R$ 1.115,00</v>
          </cell>
        </row>
        <row r="4">
          <cell r="A4" t="str">
            <v>ASSOCIACAO DE FUNCIONARIOS SISTEMA INTEGRADO CREDIREAL</v>
          </cell>
          <cell r="B4" t="str">
            <v>R$ 510,00</v>
          </cell>
        </row>
        <row r="5">
          <cell r="A5" t="str">
            <v>BTMG COSMETICOS LTDA.</v>
          </cell>
          <cell r="B5" t="str">
            <v>R$ 838,35</v>
          </cell>
        </row>
        <row r="6">
          <cell r="A6" t="str">
            <v>BTMM COSMETICOS LTDA</v>
          </cell>
          <cell r="B6" t="str">
            <v>R$ 838,35</v>
          </cell>
        </row>
        <row r="7">
          <cell r="A7" t="str">
            <v>TRAUMATOCLIN LTDA</v>
          </cell>
          <cell r="B7" t="str">
            <v>R$ 1.376,00</v>
          </cell>
        </row>
        <row r="8">
          <cell r="A8" t="str">
            <v>CENTRO DE INVEST DIAG CARDIOVASCULAR DIGITAL J FORA LTDA</v>
          </cell>
          <cell r="B8" t="str">
            <v>R$ 4.793,00</v>
          </cell>
        </row>
        <row r="9">
          <cell r="A9" t="str">
            <v>CIRCULO MILITAR DE JUIZ DE FORA</v>
          </cell>
          <cell r="B9" t="str">
            <v>R$ 1.896,00</v>
          </cell>
        </row>
        <row r="10">
          <cell r="A10" t="str">
            <v>CLÍNICA DE OLHOS BOM PASTOR</v>
          </cell>
          <cell r="B10" t="str">
            <v>R$ 1.782,00</v>
          </cell>
        </row>
        <row r="11">
          <cell r="A11" t="str">
            <v>CLINICA DE OLHOS DR.ANTONIO GABRIEL LTDA</v>
          </cell>
          <cell r="B11" t="str">
            <v>R$ 4.027,00</v>
          </cell>
        </row>
        <row r="12">
          <cell r="A12" t="str">
            <v>CLINICA SINUS - OUVIDO, NARIZ E GARGANTA LTDA</v>
          </cell>
          <cell r="B12" t="str">
            <v>R$ 918,00</v>
          </cell>
        </row>
        <row r="13">
          <cell r="A13" t="str">
            <v>COTRESA S/A</v>
          </cell>
          <cell r="B13" t="str">
            <v>R$ 1.605,00</v>
          </cell>
        </row>
        <row r="14">
          <cell r="A14" t="str">
            <v>GIDANE - CONSULTORIA E ADMINISTRACAO EDUCACIONAL LTDA.</v>
          </cell>
          <cell r="B14" t="str">
            <v>R$ 3.383,00</v>
          </cell>
        </row>
        <row r="15">
          <cell r="A15" t="str">
            <v>HOSPITAL EVANDRO RIBEIRO LTDA</v>
          </cell>
          <cell r="B15" t="str">
            <v>R$ 6.348,00</v>
          </cell>
        </row>
        <row r="16">
          <cell r="A16" t="str">
            <v>INSTITUTO DE ANALISES CLINICAS CARLOS CHAGAS LTDA - EPP</v>
          </cell>
          <cell r="B16" t="str">
            <v>R$ 6.284,00</v>
          </cell>
        </row>
        <row r="17">
          <cell r="A17" t="str">
            <v>LIVA COSMETICOS E PERFUMARIA LTDA.</v>
          </cell>
          <cell r="B17" t="str">
            <v>R$ 838,35</v>
          </cell>
        </row>
        <row r="18">
          <cell r="A18" t="str">
            <v>MARCIO GARCIA PROMOCOES LTDA.</v>
          </cell>
          <cell r="B18" t="str">
            <v>R$ 1.056,00</v>
          </cell>
        </row>
        <row r="19">
          <cell r="A19" t="str">
            <v>MATA VERDE COMERCIAL AGROPECUARIA LTDA</v>
          </cell>
          <cell r="B19" t="str">
            <v>R$ 838,35</v>
          </cell>
        </row>
        <row r="20">
          <cell r="A20" t="str">
            <v>TAMIL ONCOLOGIA</v>
          </cell>
          <cell r="B20" t="str">
            <v>R$ 762,00</v>
          </cell>
        </row>
        <row r="21">
          <cell r="A21" t="str">
            <v>SOLUS - NUCLEO AVANÇADO DE TRATAMENTO ONCOLOGICO LTDA</v>
          </cell>
          <cell r="B21" t="str">
            <v>R$ 2.456,00</v>
          </cell>
        </row>
        <row r="22">
          <cell r="A22" t="str">
            <v>MGM CONSULTORIA E PARTICIPACOES LTDA</v>
          </cell>
          <cell r="B22" t="str">
            <v>R$ 1.056,00</v>
          </cell>
        </row>
        <row r="23">
          <cell r="A23" t="str">
            <v>OTICA E ETICA LTDA</v>
          </cell>
          <cell r="B23" t="str">
            <v>R$ 1.600,00</v>
          </cell>
        </row>
        <row r="24">
          <cell r="A24" t="str">
            <v>SOLUS - NUCLEO AVANCADO DE TRATAMENTO ONCOLOGICO LTDA</v>
          </cell>
          <cell r="B24" t="str">
            <v>R$ 3.428,00</v>
          </cell>
        </row>
        <row r="25">
          <cell r="A25" t="str">
            <v>SINDICATO DOS TRABALHADORES TECNICOS ADm. EM EDU DAS INST FED DE ENSINO NO MUN DE Jf- SINTUFEJUF</v>
          </cell>
          <cell r="B25" t="str">
            <v>R$ 5.192,00</v>
          </cell>
        </row>
        <row r="26">
          <cell r="A26" t="str">
            <v>SIND DOS TRAB EMP BRA DE CORR E TELEG E SUAS CON. DE JF , ZN DA MT E CAMPOS VERTENTES DE MG</v>
          </cell>
          <cell r="B26" t="str">
            <v>R$ 1.919,00</v>
          </cell>
        </row>
        <row r="27">
          <cell r="A27" t="str">
            <v>SIND TR FUNC SERV MUN AD D I FUN AUT EM PUB AS C PJF MG</v>
          </cell>
          <cell r="B27" t="str">
            <v>R$ 3.301,00</v>
          </cell>
        </row>
        <row r="28">
          <cell r="A28" t="str">
            <v>SABINEST - CLINICA MEDICA DE ANESTESIOLOGISTA DO HOSPITAL ALBERT SABIN LTDA</v>
          </cell>
          <cell r="B28" t="str">
            <v>R$ 2.592,00</v>
          </cell>
        </row>
        <row r="29">
          <cell r="A29" t="str">
            <v>PRATA RAMOS AUTOMOVEIS LTDA</v>
          </cell>
          <cell r="B29" t="str">
            <v>R$ 1.460,00</v>
          </cell>
        </row>
        <row r="30">
          <cell r="A30" t="str">
            <v>PROVIDENCIA ADMINISTRAÇÃO DE IMOVEIS LTDA</v>
          </cell>
          <cell r="B30" t="str">
            <v>R$ 860,00</v>
          </cell>
        </row>
        <row r="31">
          <cell r="A31" t="str">
            <v>PWA SERVICOS MEDICOS LTDA</v>
          </cell>
          <cell r="B31" t="str">
            <v>R$ 757,00</v>
          </cell>
        </row>
        <row r="32">
          <cell r="A32" t="str">
            <v>RIO WORK SERVICOS ADMINISTRATIVOS LTDA</v>
          </cell>
          <cell r="B32" t="str">
            <v>R$ 838,35</v>
          </cell>
        </row>
        <row r="33">
          <cell r="A33" t="str">
            <v>RRLM ADMINISTRADORA DE BENS LTDA</v>
          </cell>
          <cell r="B33" t="str">
            <v>R$ 838,35</v>
          </cell>
        </row>
        <row r="34">
          <cell r="A34" t="str">
            <v>ALTA VISTA TELECOMUNICACOES DO BRASIL LTDA</v>
          </cell>
          <cell r="B34" t="str">
            <v>R$ 1.697,00</v>
          </cell>
        </row>
        <row r="35">
          <cell r="A35" t="str">
            <v>ASSOCIACAO BRASILEIRA DE EDUCACAO MUSICAL ABEM</v>
          </cell>
          <cell r="B35" t="str">
            <v>R$ 801,00</v>
          </cell>
        </row>
        <row r="36">
          <cell r="A36" t="str">
            <v>BASTOS SOCIEDADE DE ADVOGADOS</v>
          </cell>
          <cell r="B36" t="str">
            <v>R$ 673,00</v>
          </cell>
        </row>
        <row r="37">
          <cell r="A37" t="str">
            <v>BISSOLI TOLOMELLI SERVIÇOS MÉDICOS LTDA</v>
          </cell>
          <cell r="B37" t="str">
            <v>R$ 849,00</v>
          </cell>
        </row>
        <row r="38">
          <cell r="A38" t="str">
            <v>COMERCIO DE PRESENTES EAMES LTDA</v>
          </cell>
          <cell r="B38" t="str">
            <v>R$ 1.562,00</v>
          </cell>
        </row>
        <row r="39">
          <cell r="A39" t="str">
            <v>COP FISIOTERAPIA LTDA</v>
          </cell>
          <cell r="B39" t="str">
            <v>R$ 2.175,00</v>
          </cell>
        </row>
        <row r="40">
          <cell r="A40" t="str">
            <v>DISTRIBUIDORA GIGI LTDA</v>
          </cell>
          <cell r="B40" t="str">
            <v>R$ 1.065,00</v>
          </cell>
        </row>
        <row r="41">
          <cell r="A41" t="str">
            <v>ESPACO PLENA MENTE LTDA</v>
          </cell>
          <cell r="B41" t="str">
            <v>R$ 611,00</v>
          </cell>
        </row>
        <row r="42">
          <cell r="A42" t="str">
            <v>INLAB PROTESE DENTARIA LTDA</v>
          </cell>
          <cell r="B42" t="str">
            <v>R$ 820,00</v>
          </cell>
        </row>
        <row r="43">
          <cell r="A43" t="str">
            <v>LACD ENGENHARIA LTDA</v>
          </cell>
          <cell r="B43" t="str">
            <v>R$ 180,00</v>
          </cell>
        </row>
        <row r="44">
          <cell r="A44" t="str">
            <v>LEIKA PRESTACAO DE SERVICOS LTDA</v>
          </cell>
          <cell r="B44" t="str">
            <v>R$ 1.756,00</v>
          </cell>
        </row>
        <row r="45">
          <cell r="A45" t="str">
            <v>MAILBOX SERVICOS DE COMUNICACAO LTDA</v>
          </cell>
          <cell r="B45" t="str">
            <v>R$ 1.285,00</v>
          </cell>
        </row>
        <row r="46">
          <cell r="A46" t="str">
            <v>MGP ENTRETENIMENTO LTDA</v>
          </cell>
          <cell r="B46" t="str">
            <v>R$ 523,00</v>
          </cell>
        </row>
        <row r="47">
          <cell r="A47" t="str">
            <v>NAG PROMOCOES LTDA</v>
          </cell>
          <cell r="B47" t="str">
            <v>R$ 746,00</v>
          </cell>
        </row>
        <row r="48">
          <cell r="A48" t="str">
            <v>OFICINA BARBOSA LIMA LTDA</v>
          </cell>
          <cell r="B48" t="str">
            <v>R$ 1.628,00</v>
          </cell>
        </row>
        <row r="49">
          <cell r="A49" t="str">
            <v>ORTRA CENTRO DE ESPECIALIDADES MEDICAS LTDA</v>
          </cell>
          <cell r="B49" t="str">
            <v>R$ 2.041,00</v>
          </cell>
        </row>
        <row r="50">
          <cell r="A50" t="str">
            <v>OTICA FAVORITA JUIZ DE FORA LTDA</v>
          </cell>
          <cell r="B50" t="str">
            <v>R$ 802,00</v>
          </cell>
        </row>
        <row r="51">
          <cell r="A51" t="str">
            <v>PRATA RAMOS EMPREENDIMENTOS IMOBILIARIOS S/A</v>
          </cell>
          <cell r="B51" t="str">
            <v>R$ 1.087,00</v>
          </cell>
        </row>
        <row r="52">
          <cell r="A52" t="str">
            <v>PRIME ALIMENTOS LTDA</v>
          </cell>
          <cell r="B52" t="str">
            <v>R$ 3.208,00</v>
          </cell>
        </row>
        <row r="53">
          <cell r="A53" t="str">
            <v>TIVOLI JOIAS E RELOGIOS LTDA</v>
          </cell>
          <cell r="B53" t="str">
            <v>R$ 1.562,00</v>
          </cell>
        </row>
        <row r="54">
          <cell r="A54" t="str">
            <v>LUMEN - ENDOSCOPIA E CLINICA DO APARELHO DIGESTIVO LTDA</v>
          </cell>
          <cell r="B54" t="str">
            <v>R$ 1.605,00</v>
          </cell>
        </row>
        <row r="55">
          <cell r="A55" t="str">
            <v>CTBS NEGOCIOS LTDA</v>
          </cell>
          <cell r="B55" t="str">
            <v>R$ 440,00</v>
          </cell>
        </row>
        <row r="56">
          <cell r="A56" t="str">
            <v>GUERRA AMARAL EMPREENDIMENTOS IMOBILIARIOS LTDA</v>
          </cell>
          <cell r="B56" t="str">
            <v>R$ 767,00</v>
          </cell>
        </row>
        <row r="57">
          <cell r="A57" t="str">
            <v>KRAFT INVEST LTDA</v>
          </cell>
          <cell r="B57" t="str">
            <v>R$ 550,00</v>
          </cell>
        </row>
        <row r="58">
          <cell r="A58" t="str">
            <v>APOLINARIO SERVICOS MEDICOS LTDA</v>
          </cell>
          <cell r="B58" t="str">
            <v>R$ 440,00</v>
          </cell>
        </row>
        <row r="59">
          <cell r="A59" t="str">
            <v>BAMBOOFLEX INDUSTRIA E COMERCIO LTDA</v>
          </cell>
          <cell r="B59" t="str">
            <v>R$ 213,00</v>
          </cell>
        </row>
        <row r="60">
          <cell r="A60" t="str">
            <v>ADA REPRESENTACOES LTDA</v>
          </cell>
          <cell r="B60" t="str">
            <v>R$ 834,00</v>
          </cell>
        </row>
        <row r="61">
          <cell r="A61" t="str">
            <v>SURYA ECO DESIGN LTDA</v>
          </cell>
          <cell r="B61" t="str">
            <v>R$ 1.698,00</v>
          </cell>
        </row>
        <row r="62">
          <cell r="A62" t="str">
            <v>ALEIXO &amp; MENDES LOCACOES DE OBJETOS PARA FESTAS E EVENTOS LTDA</v>
          </cell>
          <cell r="B62" t="str">
            <v>R$ 647,00</v>
          </cell>
        </row>
        <row r="63">
          <cell r="A63" t="str">
            <v>JTL EMPREENDIMENTOS DE JUIZ DE FORA LTDA</v>
          </cell>
          <cell r="B63" t="str">
            <v>R$ 0,00</v>
          </cell>
        </row>
        <row r="64">
          <cell r="A64" t="str">
            <v>YENDES INDUSTRIA E COMERCIO DE PERSIANAS LTDA</v>
          </cell>
          <cell r="B64" t="str">
            <v>R$ 5.194,00</v>
          </cell>
        </row>
        <row r="65">
          <cell r="A65" t="str">
            <v>WA-RIO REPRESENTACOES LTDA</v>
          </cell>
          <cell r="B65" t="str">
            <v>R$ 1.236,00</v>
          </cell>
        </row>
        <row r="66">
          <cell r="A66" t="str">
            <v>VISION CLINIC LTDA</v>
          </cell>
          <cell r="B66" t="str">
            <v>R$ 1.594,00</v>
          </cell>
        </row>
        <row r="67">
          <cell r="A67" t="str">
            <v>VIDIGAL PRESTAÇÃO DE SERVIÇOS MEDICOS</v>
          </cell>
          <cell r="B67" t="str">
            <v>R$ 622,00</v>
          </cell>
        </row>
        <row r="68">
          <cell r="A68" t="str">
            <v>VIA SAPEKAS JUIX ARTIGOS INFANTIS LTDA</v>
          </cell>
          <cell r="B68" t="str">
            <v>R$ 200,00</v>
          </cell>
        </row>
        <row r="69">
          <cell r="A69" t="str">
            <v>UROLOGIQUE SERVICOS MEDICOS</v>
          </cell>
          <cell r="B69" t="str">
            <v>R$ 913,00</v>
          </cell>
        </row>
        <row r="70">
          <cell r="A70" t="str">
            <v>UROGEN - CLINICA UROLOGICA DR FABIANO SPADA LTDA</v>
          </cell>
          <cell r="B70" t="str">
            <v>R$ 796,00</v>
          </cell>
        </row>
        <row r="71">
          <cell r="A71" t="str">
            <v>UNICARDIO SERVICOS MEDICOS LTDA</v>
          </cell>
          <cell r="B71" t="str">
            <v>R$ 725,00</v>
          </cell>
        </row>
        <row r="72">
          <cell r="A72" t="str">
            <v>THERNO ALUGUEL TRAJE LTDA</v>
          </cell>
          <cell r="B72" t="str">
            <v>R$ 1.235,00</v>
          </cell>
        </row>
        <row r="73">
          <cell r="A73" t="str">
            <v>TFS EMPREENDIMENTOS IMOBILIARIOS LTDA</v>
          </cell>
          <cell r="B73" t="str">
            <v>R$ 979,00</v>
          </cell>
        </row>
        <row r="74">
          <cell r="A74" t="str">
            <v>TECERA AGENCIA DE VIAGENS E TURISMO LTDA</v>
          </cell>
          <cell r="B74" t="str">
            <v>R$ 1.141,00</v>
          </cell>
        </row>
        <row r="75">
          <cell r="A75" t="str">
            <v>SUPERMERCADO SAO BENEDITO LTDA</v>
          </cell>
          <cell r="B75" t="str">
            <v>R$ 1.870,00</v>
          </cell>
        </row>
        <row r="76">
          <cell r="A76" t="str">
            <v>STUDIO DE DESENVOLVIMENTO DE APLICATIVOS LTDA</v>
          </cell>
          <cell r="B76" t="str">
            <v>R$ 1.326,00</v>
          </cell>
        </row>
        <row r="77">
          <cell r="A77" t="str">
            <v>STUDIO DE APLICATIVOS LTDA</v>
          </cell>
          <cell r="B77" t="str">
            <v>R$ 229,00</v>
          </cell>
        </row>
        <row r="78">
          <cell r="A78" t="str">
            <v>INSTITUTO DA VISÃO DE JUIZ DE FORA LTDA</v>
          </cell>
          <cell r="B78" t="str">
            <v>R$ 515,00</v>
          </cell>
        </row>
        <row r="79">
          <cell r="A79" t="str">
            <v>SSA COMERCIO DE BIJOUTERIAS LTDA</v>
          </cell>
          <cell r="B79" t="str">
            <v>R$ 1.128,00</v>
          </cell>
        </row>
        <row r="80">
          <cell r="A80" t="str">
            <v>SOUZA MAGALHAES SOCIEDADE INDIVIDUAL DE ADVOCACIA</v>
          </cell>
          <cell r="B80" t="str">
            <v>R$ 695,00</v>
          </cell>
        </row>
        <row r="81">
          <cell r="A81" t="str">
            <v>SOLUS UBA - NUCLEO AVANCADO DE TRATAMENTO ONCOLOGICO LTDA</v>
          </cell>
          <cell r="B81" t="str">
            <v>R$ 1.619,00</v>
          </cell>
        </row>
        <row r="82">
          <cell r="A82" t="str">
            <v>SOLUS PARTICIPAÇÕES LTDA</v>
          </cell>
          <cell r="B82" t="str">
            <v>R$ 184,00</v>
          </cell>
        </row>
        <row r="83">
          <cell r="A83" t="str">
            <v>SOLUCAO ASSESSORIA EMPRESARIAL LTDA</v>
          </cell>
          <cell r="B83" t="str">
            <v>R$ 327,00</v>
          </cell>
        </row>
        <row r="84">
          <cell r="A84" t="str">
            <v>SINDICATO DE CLUBES CULTURAIS, RECREATIVOS, ESPORTIVOS E SOCIAIS DO ESTADO DE MINAS GERAIS - SINDICLUBES - MG</v>
          </cell>
          <cell r="B84" t="str">
            <v>R$ 450,00</v>
          </cell>
        </row>
        <row r="85">
          <cell r="A85" t="str">
            <v>SIND TR IND MET MC MT ELESD E FND RP DE VEI AC DE JFORA</v>
          </cell>
          <cell r="B85" t="str">
            <v>R$ 4.668,00</v>
          </cell>
        </row>
        <row r="86">
          <cell r="A86" t="str">
            <v>SEMA SERVICOS MEDICOS DE ANESTESIA</v>
          </cell>
          <cell r="B86" t="str">
            <v>R$ 1.463,00</v>
          </cell>
        </row>
        <row r="87">
          <cell r="A87" t="str">
            <v>SEJA LEGAL - GESTAO DE MARCAS E FRANQUIAS LTDA</v>
          </cell>
          <cell r="B87" t="str">
            <v>R$ 801,00</v>
          </cell>
        </row>
        <row r="88">
          <cell r="A88" t="str">
            <v>SAO PEDRO VIAGENS LTDA</v>
          </cell>
          <cell r="B88" t="str">
            <v>R$ 1.000,00</v>
          </cell>
        </row>
        <row r="89">
          <cell r="A89" t="str">
            <v>SACE-SERV DE ARRITIMIA, CARDIOLOGIA E ELETROFISIOLIGIA LTDA</v>
          </cell>
          <cell r="B89" t="str">
            <v>R$ 1.181,00</v>
          </cell>
        </row>
        <row r="90">
          <cell r="A90" t="str">
            <v>RPC SERVICOS LTDA</v>
          </cell>
          <cell r="B90" t="str">
            <v>R$ 565,00</v>
          </cell>
        </row>
        <row r="91">
          <cell r="A91" t="str">
            <v>VIVIAN DE OLIVEIRA BRUM</v>
          </cell>
          <cell r="B91" t="str">
            <v>R$ 377,00</v>
          </cell>
        </row>
        <row r="92">
          <cell r="A92" t="str">
            <v>RODRIGO GUERRA DE OLIVEIRA</v>
          </cell>
          <cell r="B92" t="str">
            <v>R$ 393,00</v>
          </cell>
        </row>
        <row r="93">
          <cell r="A93" t="str">
            <v>RIBEIRO DE OLIVEIRA CIA LTDA</v>
          </cell>
          <cell r="B93" t="str">
            <v>R$ 1.140,00</v>
          </cell>
        </row>
        <row r="94">
          <cell r="A94" t="str">
            <v>QUIOSQUE LANCHES LTDA</v>
          </cell>
          <cell r="B94" t="str">
            <v>R$ 1.441,00</v>
          </cell>
        </row>
        <row r="95">
          <cell r="A95" t="str">
            <v>QUALITY LAR E LAZER LTDA</v>
          </cell>
          <cell r="B95" t="str">
            <v>R$ 956,00</v>
          </cell>
        </row>
        <row r="96">
          <cell r="A96" t="str">
            <v>PRIME SERVICOS MEDICOS LTDA</v>
          </cell>
          <cell r="B96" t="str">
            <v>R$ 1.801,00</v>
          </cell>
        </row>
        <row r="97">
          <cell r="A97" t="str">
            <v>PREMIER PARC HOTEL LTDA</v>
          </cell>
          <cell r="B97" t="str">
            <v>R$ 8.783,00</v>
          </cell>
        </row>
        <row r="98">
          <cell r="A98" t="str">
            <v>PREMIER EVENTOS LTDA</v>
          </cell>
          <cell r="B98" t="str">
            <v>R$ 1.603,00</v>
          </cell>
        </row>
        <row r="99">
          <cell r="A99" t="str">
            <v>NÚCLEO CLÍNICO E CIRURGICO DE ODONTOLOGIA POS ODONTO LTDA</v>
          </cell>
          <cell r="B99" t="str">
            <v>R$ 2.282,00</v>
          </cell>
        </row>
        <row r="100">
          <cell r="A100" t="str">
            <v>POS - ODONTO SUPREMA TREINAMENTO EM DESENVOLVIMENTO PROFISSIONAL LTDA</v>
          </cell>
          <cell r="B100" t="str">
            <v>R$ 1.597,00</v>
          </cell>
        </row>
        <row r="101">
          <cell r="A101" t="str">
            <v>POINT PARKING ESTACIONAMENTO LTDA</v>
          </cell>
          <cell r="B101" t="str">
            <v>R$ 803,00</v>
          </cell>
        </row>
        <row r="102">
          <cell r="A102" t="str">
            <v>PMMV SERVICOS MEDICOS LTDA</v>
          </cell>
          <cell r="B102" t="str">
            <v>R$ 579,00</v>
          </cell>
        </row>
        <row r="103">
          <cell r="A103" t="str">
            <v>PET CLIN CLINICA VETERINARIA LTDA</v>
          </cell>
          <cell r="B103" t="str">
            <v>R$ 960,00</v>
          </cell>
        </row>
        <row r="104">
          <cell r="A104" t="str">
            <v>TW  SERVIÇOS MEDICOS</v>
          </cell>
          <cell r="B104" t="str">
            <v>R$ 597,00</v>
          </cell>
        </row>
        <row r="105">
          <cell r="A105" t="str">
            <v>HEMATOMED LTDA</v>
          </cell>
          <cell r="B105" t="str">
            <v>R$ 447,00</v>
          </cell>
        </row>
        <row r="106">
          <cell r="A106" t="str">
            <v>RAFAEL PAZINATTO - CLINICA DE REABILITAÇÃO ORAL ESTETICA E TREINAMENTO LTDA</v>
          </cell>
          <cell r="B106" t="str">
            <v>R$ 800,00</v>
          </cell>
        </row>
        <row r="107">
          <cell r="A107" t="str">
            <v>PARMA E CAPUTO SERVIÇOS MEDICOS LTDA</v>
          </cell>
          <cell r="B107" t="str">
            <v>R$ 807,00</v>
          </cell>
        </row>
        <row r="108">
          <cell r="A108" t="str">
            <v>MARIA AUDALIA DE FREITAS FERREIRA</v>
          </cell>
          <cell r="B108" t="str">
            <v>R$ 144,00</v>
          </cell>
        </row>
        <row r="109">
          <cell r="A109" t="str">
            <v>PADARIA E CONFEITARIA MIL E UMA OPCAO LTDA</v>
          </cell>
          <cell r="B109" t="str">
            <v>R$ 801,00</v>
          </cell>
        </row>
        <row r="110">
          <cell r="A110" t="str">
            <v>P.O CARONE SERVIÇOS MÉDICOS</v>
          </cell>
          <cell r="B110" t="str">
            <v>R$ 1.949,00</v>
          </cell>
        </row>
        <row r="111">
          <cell r="A111" t="str">
            <v>ORTOPEDIA H. B. LTDA</v>
          </cell>
          <cell r="B111" t="str">
            <v>R$ 1.461,00</v>
          </cell>
        </row>
        <row r="112">
          <cell r="A112" t="str">
            <v>ORTHOS ORTOPEDIA TRAUM.E REABILITAÇÃO - EPP</v>
          </cell>
          <cell r="B112" t="str">
            <v>R$ 1.220,00</v>
          </cell>
        </row>
        <row r="113">
          <cell r="A113" t="str">
            <v>OFTALMO - CENTRO DE OFTALMOLOGIA LTDA</v>
          </cell>
          <cell r="B113" t="str">
            <v>R$ 1.801,00</v>
          </cell>
        </row>
        <row r="114">
          <cell r="A114" t="str">
            <v>NOVA COMUNICACAO LTDA</v>
          </cell>
          <cell r="B114" t="str">
            <v>R$ 862,00</v>
          </cell>
        </row>
        <row r="115">
          <cell r="A115" t="str">
            <v>ALESSANDRA BRUN FERRIRA GUIMARAES</v>
          </cell>
          <cell r="B115" t="str">
            <v>R$ 405,00</v>
          </cell>
        </row>
        <row r="116">
          <cell r="A116" t="str">
            <v>MUNDO MAGICO BRINQUEDOS E ENXOVAIS LTDA</v>
          </cell>
          <cell r="B116" t="str">
            <v>R$ 2.092,00</v>
          </cell>
        </row>
        <row r="117">
          <cell r="A117" t="str">
            <v>MOBILIADORA NOVA LTDA</v>
          </cell>
          <cell r="B117" t="str">
            <v>R$ 1.147,00</v>
          </cell>
        </row>
        <row r="118">
          <cell r="A118" t="str">
            <v>MJ SAFIRA EMPREENDIMENTOS IMOBILIARIOS LTDA</v>
          </cell>
          <cell r="B118" t="str">
            <v>R$ 1.619,00</v>
          </cell>
        </row>
        <row r="119">
          <cell r="A119" t="str">
            <v>MG MEDICAL COMERCIO DE PRODUTOS MEDICO HOSPITALARES LTDA</v>
          </cell>
          <cell r="B119" t="str">
            <v>R$ 1.595,00</v>
          </cell>
        </row>
        <row r="120">
          <cell r="A120" t="str">
            <v>MENDES MORAES SERVICOS MEDICOS LTDA</v>
          </cell>
          <cell r="B120" t="str">
            <v>R$ 693,00</v>
          </cell>
        </row>
        <row r="121">
          <cell r="A121" t="str">
            <v>MECPEL PAPELARIA E LIVRARIA LTDA</v>
          </cell>
          <cell r="B121" t="str">
            <v>R$ 1.000,00</v>
          </cell>
        </row>
        <row r="122">
          <cell r="A122" t="str">
            <v>MARIANGELA RIBEIRO SILVA DUARTE</v>
          </cell>
          <cell r="B122" t="str">
            <v>R$ 363,00</v>
          </cell>
        </row>
        <row r="123">
          <cell r="A123" t="str">
            <v>MARIA INES ANDRADE</v>
          </cell>
          <cell r="B123" t="str">
            <v>R$ 500,00</v>
          </cell>
        </row>
        <row r="124">
          <cell r="A124" t="str">
            <v>M COELHO REPRESENTACOES LTDA</v>
          </cell>
          <cell r="B124" t="str">
            <v>R$ 213,00</v>
          </cell>
        </row>
        <row r="125">
          <cell r="A125" t="str">
            <v>L V INDUSTRIA E COMERCIO DE ROUPAS LTDA</v>
          </cell>
          <cell r="B125" t="str">
            <v>R$ 1.235,00</v>
          </cell>
        </row>
        <row r="126">
          <cell r="A126" t="str">
            <v>LUIS DERLAN BAIRRAL</v>
          </cell>
          <cell r="B126" t="str">
            <v>R$ 545,00</v>
          </cell>
        </row>
        <row r="127">
          <cell r="A127" t="str">
            <v>LOCAL LOCACAO CORRETAGEM E ADMINISTRACAO LTDA</v>
          </cell>
          <cell r="B127" t="str">
            <v>R$ 1.801,00</v>
          </cell>
        </row>
        <row r="128">
          <cell r="A128" t="str">
            <v>ALIFE SERVICOS MEDICOS</v>
          </cell>
          <cell r="B128" t="str">
            <v>R$ 610,00</v>
          </cell>
        </row>
        <row r="129">
          <cell r="A129" t="str">
            <v>LNP LOGISTICA INTERNACIONAL LTDA</v>
          </cell>
          <cell r="B129" t="str">
            <v>R$ 1.801,00</v>
          </cell>
        </row>
        <row r="130">
          <cell r="A130" t="str">
            <v>LEORRO MEDICAMENTOS LTDA</v>
          </cell>
          <cell r="B130" t="str">
            <v>R$ 1.628,00</v>
          </cell>
        </row>
        <row r="131">
          <cell r="A131" t="str">
            <v>LEONARDO SANTOS PICININI</v>
          </cell>
          <cell r="B131" t="str">
            <v>R$ 394,00</v>
          </cell>
        </row>
        <row r="132">
          <cell r="A132" t="str">
            <v>LEONARDO SANTOS PICININI</v>
          </cell>
          <cell r="B132" t="str">
            <v>R$ 460,00</v>
          </cell>
        </row>
        <row r="133">
          <cell r="A133" t="str">
            <v>LEONARDO LUIZ FERNANDES FELLET</v>
          </cell>
          <cell r="B133" t="str">
            <v>R$ 341,00</v>
          </cell>
        </row>
        <row r="134">
          <cell r="A134" t="str">
            <v>LCL CONSTRUCOES LTDA</v>
          </cell>
          <cell r="B134" t="str">
            <v>R$ 601,00</v>
          </cell>
        </row>
        <row r="135">
          <cell r="A135" t="str">
            <v>LAVINIA LEITAO BANDEIRA</v>
          </cell>
          <cell r="B135" t="str">
            <v>R$ 511,00</v>
          </cell>
        </row>
        <row r="136">
          <cell r="A136" t="str">
            <v>LABORATORIO DE PROTESE DA DALT SOUZA LTDA</v>
          </cell>
          <cell r="B136" t="str">
            <v>R$ 1.760,00</v>
          </cell>
        </row>
        <row r="137">
          <cell r="A137" t="str">
            <v>JR FIT PERSONAL LTDA</v>
          </cell>
          <cell r="B137" t="str">
            <v>R$ 797,00</v>
          </cell>
        </row>
        <row r="138">
          <cell r="A138" t="str">
            <v>JOSE MURILLO BASTOS NETTO</v>
          </cell>
          <cell r="B138" t="str">
            <v>R$ 409,00</v>
          </cell>
        </row>
        <row r="139">
          <cell r="A139" t="str">
            <v>JJCL COMERCIO LTDA</v>
          </cell>
          <cell r="B139" t="str">
            <v>R$ 200,00</v>
          </cell>
        </row>
        <row r="140">
          <cell r="A140" t="str">
            <v>JF PASSOS VIAGENS LTDA</v>
          </cell>
          <cell r="B140" t="str">
            <v>R$ 1.013,00</v>
          </cell>
        </row>
        <row r="141">
          <cell r="A141" t="str">
            <v>JF NORTE VIAGENS LTDA</v>
          </cell>
          <cell r="B141" t="str">
            <v>R$ 1.013,00</v>
          </cell>
        </row>
        <row r="142">
          <cell r="A142" t="str">
            <v>JF ESCRITA ARTIGOS PARA ESCRITORIO LTDA</v>
          </cell>
          <cell r="B142" t="str">
            <v>R$ 800,00</v>
          </cell>
        </row>
        <row r="143">
          <cell r="A143" t="str">
            <v>JAPINTO - ADMINISTRACAO IMOVEIS LTDA</v>
          </cell>
          <cell r="B143" t="str">
            <v>R$ 1.067,00</v>
          </cell>
        </row>
        <row r="144">
          <cell r="A144" t="str">
            <v>J. M. DINIZ CONFECCOES DE ROUPAS LTDA</v>
          </cell>
          <cell r="B144" t="str">
            <v>R$ 1.181,00</v>
          </cell>
        </row>
        <row r="145">
          <cell r="A145" t="str">
            <v>IVAHY EMPREENDIMENTOS LTDA</v>
          </cell>
          <cell r="B145" t="str">
            <v>R$ 244,00</v>
          </cell>
        </row>
        <row r="146">
          <cell r="A146" t="str">
            <v>ISO - INSTITUTO DE SAÚDE OCUPACIONAL LTDA</v>
          </cell>
          <cell r="B146" t="str">
            <v>R$ 1.216,00</v>
          </cell>
        </row>
        <row r="147">
          <cell r="A147" t="str">
            <v>IMPERIALE LTDA</v>
          </cell>
          <cell r="B147" t="str">
            <v>R$ 880,00</v>
          </cell>
        </row>
        <row r="148">
          <cell r="A148" t="str">
            <v>IMEPP - ATENDIMENTO SOCIOASSISTENCIAL</v>
          </cell>
          <cell r="B148" t="str">
            <v>R$ 1.823,00</v>
          </cell>
        </row>
        <row r="149">
          <cell r="A149" t="str">
            <v>IGUALISE LTDA</v>
          </cell>
          <cell r="B149" t="str">
            <v>R$ 758,00</v>
          </cell>
        </row>
        <row r="150">
          <cell r="A150" t="str">
            <v>IGOR CEZAR DA SILVA LEITAO</v>
          </cell>
          <cell r="B150" t="str">
            <v>R$ 248,00</v>
          </cell>
        </row>
        <row r="151">
          <cell r="A151" t="str">
            <v>HSA CONSULTORIA LTDA</v>
          </cell>
          <cell r="B151" t="str">
            <v>R$ 694,00</v>
          </cell>
        </row>
        <row r="152">
          <cell r="A152" t="str">
            <v>HIDROFISIO - CENTRO DE REABILITACAO INTEGRADO LTDA</v>
          </cell>
          <cell r="B152" t="str">
            <v>R$ 1.473,00</v>
          </cell>
        </row>
        <row r="153">
          <cell r="A153" t="str">
            <v>GUERRA PICININI INVESTIMENTOS IMOBILIARIOS LTDA</v>
          </cell>
          <cell r="B153" t="str">
            <v>R$ 213,00</v>
          </cell>
        </row>
        <row r="154">
          <cell r="A154" t="str">
            <v>FLAVIO ANDRADE BISCOTTO</v>
          </cell>
          <cell r="B154" t="str">
            <v>R$ 369,00</v>
          </cell>
        </row>
        <row r="155">
          <cell r="A155" t="str">
            <v>FITNESS COMPANY ARTIGOS ESPORTIVOS LTDA</v>
          </cell>
          <cell r="B155" t="str">
            <v>R$ 1.023,00</v>
          </cell>
        </row>
        <row r="156">
          <cell r="A156" t="str">
            <v>FABIANA MENDES AGENCIA DE VIAGENS E TURISMO LTDA</v>
          </cell>
          <cell r="B156" t="str">
            <v>R$ 820,00</v>
          </cell>
        </row>
        <row r="157">
          <cell r="A157" t="str">
            <v>EVENTUALE LOCACAO DE MOVEIS E ACESSORIOS LTDA</v>
          </cell>
          <cell r="B157" t="str">
            <v>R$ 944,00</v>
          </cell>
        </row>
        <row r="158">
          <cell r="A158" t="str">
            <v>ESTACIONAMENTO LANCINI LTDA</v>
          </cell>
          <cell r="B158" t="str">
            <v>R$ 639,00</v>
          </cell>
        </row>
        <row r="159">
          <cell r="A159" t="str">
            <v>ESPAÇO MARIA INES CONSULTORIA, FISIOTERAPIA E GESTÃO ADMINISTRATIVA LTDA</v>
          </cell>
          <cell r="B159" t="str">
            <v>R$ 192,00</v>
          </cell>
        </row>
        <row r="160">
          <cell r="A160" t="str">
            <v>ERRICHTEN PROJETOS E CONSTRUCOES LTDA</v>
          </cell>
          <cell r="B160" t="str">
            <v>R$ 150,00</v>
          </cell>
        </row>
        <row r="161">
          <cell r="A161" t="str">
            <v>ER SERVICOS MEDICOS LTDA</v>
          </cell>
          <cell r="B161" t="str">
            <v>R$ 1.196,00</v>
          </cell>
        </row>
        <row r="162">
          <cell r="A162" t="str">
            <v>ENGINE ENGENHARIA LTDA</v>
          </cell>
          <cell r="B162" t="str">
            <v>R$ 3.359,00</v>
          </cell>
        </row>
        <row r="163">
          <cell r="A163" t="str">
            <v>ENDOCRINOLOGIA E CLINICA MEDICA BOR LTDA</v>
          </cell>
          <cell r="B163" t="str">
            <v>R$ 266,00</v>
          </cell>
        </row>
        <row r="164">
          <cell r="A164" t="str">
            <v>EMPREENDIMENTOS ESPORTIVOS BEIRE LTDA</v>
          </cell>
          <cell r="B164" t="str">
            <v>R$ 1.489,00</v>
          </cell>
        </row>
        <row r="165">
          <cell r="A165" t="str">
            <v>EDUARDO STEPHAN DE OLIVEIRA COMERCIO DE AUTOMOVEIS LTDA</v>
          </cell>
          <cell r="B165" t="str">
            <v>R$ 1.373,00</v>
          </cell>
        </row>
        <row r="166">
          <cell r="A166" t="str">
            <v>EBX MOVEIS E CADEIRAS LTDA</v>
          </cell>
          <cell r="B166" t="str">
            <v>R$ 982,00</v>
          </cell>
        </row>
        <row r="167">
          <cell r="A167" t="str">
            <v>E.X.C. COMERCIO DE BIJOUTERIAS LTDA</v>
          </cell>
          <cell r="B167" t="str">
            <v>R$ 1.128,00</v>
          </cell>
        </row>
        <row r="168">
          <cell r="A168" t="str">
            <v>E.T.C. EDITORA LTDA</v>
          </cell>
          <cell r="B168" t="str">
            <v>R$ 500,00</v>
          </cell>
        </row>
        <row r="169">
          <cell r="A169" t="str">
            <v>E.C. CONSTRUCOES E SERVICOS LTDA</v>
          </cell>
          <cell r="B169" t="str">
            <v>R$ 788,00</v>
          </cell>
        </row>
        <row r="170">
          <cell r="A170" t="str">
            <v>DUCAVI COMERCIO DE ROUPAS LTDA</v>
          </cell>
          <cell r="B170" t="str">
            <v>R$ 1.628,00</v>
          </cell>
        </row>
        <row r="171">
          <cell r="A171" t="str">
            <v>DISRUPTURA GESTAO EM SAUDE LTDA</v>
          </cell>
          <cell r="B171" t="str">
            <v>R$ 797,00</v>
          </cell>
        </row>
        <row r="172">
          <cell r="A172" t="str">
            <v>DILCEA CEZAR LEITÃO</v>
          </cell>
          <cell r="B172" t="str">
            <v>R$ 771,00</v>
          </cell>
        </row>
        <row r="173">
          <cell r="A173" t="str">
            <v>DFS2 EMPREENDIMENTOS E PARTICIPAÇÕES LTDA</v>
          </cell>
          <cell r="B173" t="str">
            <v>R$ 797,00</v>
          </cell>
        </row>
        <row r="174">
          <cell r="A174" t="str">
            <v>DEC MOVEIS PARA ESCRITORIO E INFORMATICA LTDA</v>
          </cell>
          <cell r="B174" t="str">
            <v>R$ 1.814,00</v>
          </cell>
        </row>
        <row r="175">
          <cell r="A175" t="str">
            <v>DEBORA C S ALMEIDA PSICOLOGIA LTDA</v>
          </cell>
          <cell r="B175" t="str">
            <v>R$ 425,00</v>
          </cell>
        </row>
        <row r="176">
          <cell r="A176" t="str">
            <v>CRISTIANA DE MORAES RAMALHO</v>
          </cell>
          <cell r="B176" t="str">
            <v>R$ 480,00</v>
          </cell>
        </row>
        <row r="177">
          <cell r="A177" t="str">
            <v>CONSTRUTORA FILGUEIRAS LTDA</v>
          </cell>
          <cell r="B177" t="str">
            <v>R$ 649,00</v>
          </cell>
        </row>
        <row r="178">
          <cell r="A178" t="str">
            <v>CHACUR EMPREENDIMENTOS E PARTICIPACOES LTDA</v>
          </cell>
          <cell r="B178" t="str">
            <v>R$ 655,00</v>
          </cell>
        </row>
        <row r="179">
          <cell r="A179" t="str">
            <v>CONSTRUTORA BELOI LTDA</v>
          </cell>
          <cell r="B179" t="str">
            <v>R$ 3.196,00</v>
          </cell>
        </row>
        <row r="180">
          <cell r="A180" t="str">
            <v>CONDOMINIO DO EDIFICIO SALGADO FILHO 440</v>
          </cell>
          <cell r="B180" t="str">
            <v>R$ 0,00</v>
          </cell>
        </row>
        <row r="181">
          <cell r="A181" t="str">
            <v>ALTO SERENO EMPREENDIMENTOS IMOBILIARIOS LTDA</v>
          </cell>
          <cell r="B181" t="str">
            <v>R$ 1.620,00</v>
          </cell>
        </row>
        <row r="182">
          <cell r="A182" t="str">
            <v>ANDERSON MOISES AYUPE</v>
          </cell>
          <cell r="B182" t="str">
            <v>R$ 330,00</v>
          </cell>
        </row>
        <row r="183">
          <cell r="A183" t="str">
            <v>ANGELA DE FATIMA BORGES</v>
          </cell>
          <cell r="B183" t="str">
            <v>R$ 577,00</v>
          </cell>
        </row>
        <row r="184">
          <cell r="A184" t="str">
            <v>ANGELO E FERRARI ADMINISTRACAO DE CONDOMINIOS LTDA</v>
          </cell>
          <cell r="B184" t="str">
            <v>R$ 832,00</v>
          </cell>
        </row>
        <row r="185">
          <cell r="A185" t="str">
            <v>ANTONIO CARLOS TONELLI DE TOLEDO</v>
          </cell>
          <cell r="B185" t="str">
            <v>R$ 352,00</v>
          </cell>
        </row>
        <row r="186">
          <cell r="A186" t="str">
            <v>ANTONIO DE PAULA CUNHA</v>
          </cell>
          <cell r="B186" t="str">
            <v>R$ 651,00</v>
          </cell>
        </row>
        <row r="187">
          <cell r="A187" t="str">
            <v>ANTONIO JOSE ALVES DE SOUZA JUNIOR</v>
          </cell>
          <cell r="B187" t="str">
            <v>R$ 267,00</v>
          </cell>
        </row>
        <row r="188">
          <cell r="A188" t="str">
            <v>COMERCIO CONSTRUMACHADO E SILVA LTDA</v>
          </cell>
          <cell r="B188" t="str">
            <v>R$ 1.110,00</v>
          </cell>
        </row>
        <row r="189">
          <cell r="A189" t="str">
            <v>COMERCIAL E SERVICOS E &amp; M LTDA.</v>
          </cell>
          <cell r="B189" t="str">
            <v>R$ 1.089,00</v>
          </cell>
        </row>
        <row r="190">
          <cell r="A190" t="str">
            <v>CNI SAUDE SERVIÇOS MEDICOS</v>
          </cell>
          <cell r="B190" t="str">
            <v>R$ 1.594,00</v>
          </cell>
        </row>
        <row r="191">
          <cell r="A191" t="str">
            <v>CMIP-CENTRO MINEIRO DE PESQUISA LTDA ME</v>
          </cell>
          <cell r="B191" t="str">
            <v>R$ 2.519,00</v>
          </cell>
        </row>
        <row r="192">
          <cell r="A192" t="str">
            <v>CLINICA RADIOLOGICA TARCISIO LIMA GUEDES LTDA</v>
          </cell>
          <cell r="B192" t="str">
            <v>R$ 1.079,00</v>
          </cell>
        </row>
        <row r="193">
          <cell r="A193" t="str">
            <v>ANTONIO CARLOS TONELLI DE TOLEDO</v>
          </cell>
          <cell r="B193" t="str">
            <v>R$ 250,00</v>
          </cell>
        </row>
        <row r="194">
          <cell r="A194" t="str">
            <v>CLINICA RADIOLOGICA ROBERTO LIMA GUEDES LTDA</v>
          </cell>
          <cell r="B194" t="str">
            <v>R$ 1.079,00</v>
          </cell>
        </row>
        <row r="195">
          <cell r="A195" t="str">
            <v>ARTHUR BASSOLLI LARCHER LIMA LTDA</v>
          </cell>
          <cell r="B195" t="str">
            <v>R$ 457,00</v>
          </cell>
        </row>
        <row r="196">
          <cell r="A196" t="str">
            <v>CLINICA DE NUTRICAO ANDREA SANTA ROSA GARCIA LTDA</v>
          </cell>
          <cell r="B196" t="str">
            <v>R$ 523,00</v>
          </cell>
        </row>
        <row r="197">
          <cell r="A197" t="str">
            <v>CLINICA DE MEDICINA INTERNA LTDA</v>
          </cell>
          <cell r="B197" t="str">
            <v>R$ 2.542,00</v>
          </cell>
        </row>
        <row r="198">
          <cell r="A198" t="str">
            <v>ASSOC PROPRIETARIOS MORADORES BAIRRO BOSQUE IMPERADOR</v>
          </cell>
          <cell r="B198" t="str">
            <v>R$ 498,00</v>
          </cell>
        </row>
        <row r="199">
          <cell r="A199" t="str">
            <v>CLINICA DE CIRURGIA IVAN RESENDE LTDA</v>
          </cell>
          <cell r="B199" t="str">
            <v>R$ 1.801,00</v>
          </cell>
        </row>
        <row r="200">
          <cell r="A200" t="str">
            <v>ASSOCIACAO PROPAGADORA DA MUSICA EM JUIZ DE FORA</v>
          </cell>
          <cell r="B200" t="str">
            <v>R$ 820,00</v>
          </cell>
        </row>
        <row r="201">
          <cell r="A201" t="str">
            <v>AVELINO CALDAS LEITAO</v>
          </cell>
          <cell r="B201" t="str">
            <v>R$ 248,00</v>
          </cell>
        </row>
        <row r="202">
          <cell r="A202" t="str">
            <v>AX3 INFRAESTRUTURA E TECNOLOGIA LTDA</v>
          </cell>
          <cell r="B202" t="str">
            <v>R$ 170,00</v>
          </cell>
        </row>
        <row r="203">
          <cell r="A203" t="str">
            <v>CLINICA DE OFTALMOLOGIA DRA. LAVINIA LEITAO BANDEIRA LTDA</v>
          </cell>
          <cell r="B203" t="str">
            <v>R$ 1.470,00</v>
          </cell>
        </row>
        <row r="204">
          <cell r="A204" t="str">
            <v>BABY CARE PEDIATRIA</v>
          </cell>
          <cell r="B204" t="str">
            <v>R$ 1.594,00</v>
          </cell>
        </row>
        <row r="205">
          <cell r="A205" t="str">
            <v>CLINICA DE ESPECIALIDADES ORTOPEDICAS LTDA</v>
          </cell>
          <cell r="B205" t="str">
            <v>R$ 1.807,00</v>
          </cell>
        </row>
        <row r="206">
          <cell r="A206" t="str">
            <v>CLIADI-CLINICA DO APARELHO DIGESTIVO DE JUIZ DE FORA LTDA</v>
          </cell>
          <cell r="B206" t="str">
            <v>R$ 1.552,00</v>
          </cell>
        </row>
        <row r="207">
          <cell r="A207" t="str">
            <v>BMH ADMINISTRAÇÃO E EMPREENDIMENTOS IMOBILIARIOS LTDA</v>
          </cell>
          <cell r="B207" t="str">
            <v>R$ 750,00</v>
          </cell>
        </row>
        <row r="208">
          <cell r="A208" t="str">
            <v>CAPELA NEGOCIOS IMOBILIARIOS LTDA</v>
          </cell>
          <cell r="B208" t="str">
            <v>R$ 1.064,00</v>
          </cell>
        </row>
        <row r="209">
          <cell r="A209" t="str">
            <v>CARDIO E CLINICA LTDA</v>
          </cell>
          <cell r="B209" t="str">
            <v>R$ 1.079,00</v>
          </cell>
        </row>
        <row r="210">
          <cell r="A210" t="str">
            <v>CARDIOCATH SERVICOS MEDICOS LTDA</v>
          </cell>
          <cell r="B210" t="str">
            <v>R$ 1.707,00</v>
          </cell>
        </row>
        <row r="211">
          <cell r="A211" t="str">
            <v>CASA DE REPOUSO PROVENCE LTDA</v>
          </cell>
          <cell r="B211" t="str">
            <v>R$ 1.628,00</v>
          </cell>
        </row>
        <row r="212">
          <cell r="A212" t="str">
            <v>CHACRINHA EMPREENDIMENTOS LTDA</v>
          </cell>
          <cell r="B212" t="str">
            <v>R$ 1.147,00</v>
          </cell>
        </row>
        <row r="213">
          <cell r="A213" t="str">
            <v>CHACRINHA EMPREENDIMENTOS LTDA</v>
          </cell>
          <cell r="B213" t="str">
            <v>R$ 573,00</v>
          </cell>
        </row>
        <row r="214">
          <cell r="A214" t="str">
            <v>CETAL - CENTRO DE TRATAMENTO DO APARELHO LOCOMOTOR LTDA</v>
          </cell>
          <cell r="B214" t="str">
            <v>R$ 2.703,00</v>
          </cell>
        </row>
        <row r="215">
          <cell r="A215" t="str">
            <v>CASA GODINHO</v>
          </cell>
          <cell r="B215" t="str">
            <v>R$ 392,00</v>
          </cell>
        </row>
        <row r="216">
          <cell r="A216" t="str">
            <v>CENTRO DE DIAGNOSTICO POR IMAGENS DR. RENATO RANGEL GUSMAO LTDA</v>
          </cell>
          <cell r="B216" t="str">
            <v>R$ 552,00</v>
          </cell>
        </row>
        <row r="217">
          <cell r="A217" t="str">
            <v>PADARIA CHUMBINHO LTDA</v>
          </cell>
          <cell r="B217" t="str">
            <v>R$ 1.616,00</v>
          </cell>
        </row>
        <row r="218">
          <cell r="A218" t="str">
            <v>EDUARDO VIEIRA BRAGA ESPINDOLA</v>
          </cell>
          <cell r="B218" t="str">
            <v>R$ 0,00</v>
          </cell>
        </row>
        <row r="219">
          <cell r="A219" t="str">
            <v>JACOMETTI SERVICOS MEDICOS LTDA</v>
          </cell>
          <cell r="B219" t="str">
            <v>R$ 591,00</v>
          </cell>
        </row>
        <row r="220">
          <cell r="A220" t="str">
            <v>BAR E MERCEARIA PANTOMINAS LTDA</v>
          </cell>
          <cell r="B220" t="str">
            <v>R$ 612,00</v>
          </cell>
        </row>
        <row r="221">
          <cell r="A221" t="str">
            <v>VIVIAN DE OLIVEIRA BRUM</v>
          </cell>
          <cell r="B221" t="str">
            <v>R$ 368,00</v>
          </cell>
        </row>
        <row r="222">
          <cell r="A222" t="str">
            <v>A.P.E. EMPREENDIMENTOS IMOBILIARIOS LTDA</v>
          </cell>
          <cell r="B222" t="str">
            <v>R$ 655,00</v>
          </cell>
        </row>
        <row r="223">
          <cell r="A223" t="str">
            <v>LUCTEC COMERCIO DE MATERIAIS ELETRICOS LTDA</v>
          </cell>
          <cell r="B223" t="str">
            <v>R$ 1.231,00</v>
          </cell>
        </row>
        <row r="224">
          <cell r="A224" t="str">
            <v>TASSIA VELOSO GOMES</v>
          </cell>
          <cell r="B224" t="str">
            <v>R$ 304,00</v>
          </cell>
        </row>
        <row r="225">
          <cell r="A225" t="str">
            <v>ROMEU FERREIRA DARODA</v>
          </cell>
          <cell r="B225" t="str">
            <v>R$ 144,00</v>
          </cell>
        </row>
        <row r="226">
          <cell r="A226" t="str">
            <v>PATRICK OLIVEIRA CARONE</v>
          </cell>
          <cell r="B226" t="str">
            <v>R$ 172,00</v>
          </cell>
        </row>
        <row r="227">
          <cell r="A227" t="str">
            <v>MAURA FERREIRA</v>
          </cell>
          <cell r="B227" t="str">
            <v>R$ 209,00</v>
          </cell>
        </row>
        <row r="228">
          <cell r="A228" t="str">
            <v>LUCIANA ROSIN GARCIA</v>
          </cell>
          <cell r="B228" t="str">
            <v>R$ 166,00</v>
          </cell>
        </row>
        <row r="229">
          <cell r="A229" t="str">
            <v>LUIS HELENO LIMA CORREA</v>
          </cell>
          <cell r="B229" t="str">
            <v>R$ 189,00</v>
          </cell>
        </row>
        <row r="230">
          <cell r="A230" t="str">
            <v>JULIANA ARAESTRUP GUERRA</v>
          </cell>
          <cell r="B230" t="str">
            <v>R$ 150,00</v>
          </cell>
        </row>
        <row r="231">
          <cell r="A231" t="str">
            <v>GERALDA RODRIGUES VILLANOVA</v>
          </cell>
          <cell r="B231" t="str">
            <v>R$ 228,00</v>
          </cell>
        </row>
        <row r="232">
          <cell r="A232" t="str">
            <v>DILCEA CEZAR LEITÃO</v>
          </cell>
          <cell r="B232" t="str">
            <v>R$ 189,00</v>
          </cell>
        </row>
        <row r="233">
          <cell r="A233" t="str">
            <v>DARIO ALFEU BASTOS</v>
          </cell>
          <cell r="B233" t="str">
            <v>R$ 178,00</v>
          </cell>
        </row>
        <row r="234">
          <cell r="A234" t="str">
            <v>CLAUDIO OTAVIO PRATA RAMOS</v>
          </cell>
          <cell r="B234" t="str">
            <v>R$ 315,00</v>
          </cell>
        </row>
        <row r="235">
          <cell r="A235" t="str">
            <v>CLARISSA DINIZ GUEDES</v>
          </cell>
          <cell r="B235" t="str">
            <v>R$ 238,00</v>
          </cell>
        </row>
        <row r="236">
          <cell r="A236" t="str">
            <v>ADRIANA INFANTE MAGALHAES MARTINS</v>
          </cell>
          <cell r="B236" t="str">
            <v>R$ 179,00</v>
          </cell>
        </row>
        <row r="237">
          <cell r="A237" t="str">
            <v>SOUZA SERVICOS MEDICOS E TREINAMENTO EM SAUDE LTDA</v>
          </cell>
          <cell r="B237" t="str">
            <v>R$ 0,00</v>
          </cell>
        </row>
        <row r="238">
          <cell r="A238" t="str">
            <v>ROGERIO DE CASTRO PIMENTEL</v>
          </cell>
          <cell r="B238" t="str">
            <v>R$ 172,00</v>
          </cell>
        </row>
        <row r="239">
          <cell r="A239" t="str">
            <v>FORTI MAC LOCAÇÃO DE MÁQUINAS E EQUIPAMENTOS LTDA</v>
          </cell>
          <cell r="B239" t="str">
            <v>R$ 1.803,00</v>
          </cell>
        </row>
        <row r="240">
          <cell r="A240" t="str">
            <v>LIDICE CAROLINA LENZ E SILVA</v>
          </cell>
          <cell r="B240" t="str">
            <v>R$ 134,00</v>
          </cell>
        </row>
        <row r="241">
          <cell r="A241" t="str">
            <v>CLINICA VISAO LTDA</v>
          </cell>
          <cell r="B241" t="str">
            <v>R$ 733,00</v>
          </cell>
        </row>
        <row r="242">
          <cell r="A242" t="str">
            <v>HIVE MKT LTDA</v>
          </cell>
          <cell r="B242" t="str">
            <v>R$ 802,00</v>
          </cell>
        </row>
        <row r="243">
          <cell r="A243" t="str">
            <v>JSSJ SOLUCOES DIGITAIS LTDA</v>
          </cell>
          <cell r="B243" t="str">
            <v>R$ 107,00</v>
          </cell>
        </row>
        <row r="244">
          <cell r="A244" t="str">
            <v>AE SAUDE LTDA</v>
          </cell>
          <cell r="B244" t="str">
            <v>R$ 160,00</v>
          </cell>
        </row>
        <row r="245">
          <cell r="A245" t="str">
            <v>MONTANO LTDA</v>
          </cell>
          <cell r="B245" t="str">
            <v>R$ 425,00</v>
          </cell>
        </row>
        <row r="246">
          <cell r="A246" t="str">
            <v>SAGA GESTAO PATRIMONIAL LTDA</v>
          </cell>
          <cell r="B246" t="str">
            <v>R$ 825,00</v>
          </cell>
        </row>
        <row r="247">
          <cell r="A247" t="str">
            <v>UAI ZOO HOSPITAL VETERINARIO LTDA</v>
          </cell>
          <cell r="B247" t="str">
            <v>R$ 532,00</v>
          </cell>
        </row>
        <row r="248">
          <cell r="A248" t="str">
            <v>HEALTH FOR LIFE LTDA</v>
          </cell>
          <cell r="B248" t="str">
            <v>R$ 1.133,00</v>
          </cell>
        </row>
        <row r="249">
          <cell r="A249" t="str">
            <v>JUÇARA CARVALHO ESTEVES SABER</v>
          </cell>
          <cell r="B249" t="str">
            <v>R$ 136,00</v>
          </cell>
        </row>
        <row r="250">
          <cell r="A250" t="str">
            <v>CEZAR CARVALHO ESTEVES</v>
          </cell>
          <cell r="B250" t="str">
            <v>R$ 136,00</v>
          </cell>
        </row>
        <row r="251">
          <cell r="A251" t="str">
            <v>DIGIMED FATURAMENTO MEDICO LTDA</v>
          </cell>
          <cell r="B251" t="str">
            <v>R$ 456,00</v>
          </cell>
        </row>
        <row r="252">
          <cell r="A252" t="str">
            <v>VASTO INCORPORADORA LTDA</v>
          </cell>
          <cell r="B252" t="str">
            <v>R$ 1.387,00</v>
          </cell>
        </row>
        <row r="253">
          <cell r="A253" t="str">
            <v>PROANEST LTDA</v>
          </cell>
          <cell r="B253" t="str">
            <v>R$ 458,00</v>
          </cell>
        </row>
        <row r="254">
          <cell r="A254" t="str">
            <v>CLINICA CIRURGICA E OBSTETRICA SAO LUCAS</v>
          </cell>
          <cell r="B254" t="str">
            <v>R$ 874,00</v>
          </cell>
        </row>
        <row r="255">
          <cell r="A255" t="str">
            <v>MARIA AUDALIA DE FREITAS FERREIRA</v>
          </cell>
          <cell r="B255" t="str">
            <v>R$ 229,00</v>
          </cell>
        </row>
        <row r="256">
          <cell r="A256" t="str">
            <v>RAQUEL CARVALHO DIAS E SILVA 08233634654</v>
          </cell>
          <cell r="B256" t="str">
            <v>R$ 267,00</v>
          </cell>
        </row>
        <row r="257">
          <cell r="A257" t="str">
            <v>SALGADERIA LE BARUC LTDA</v>
          </cell>
          <cell r="B257" t="str">
            <v>R$ 1.067,00</v>
          </cell>
        </row>
        <row r="258">
          <cell r="A258" t="str">
            <v>PADARIA E SALGADERIA DIAS E SILVA LTDA</v>
          </cell>
          <cell r="B258" t="str">
            <v>R$ 267,00</v>
          </cell>
        </row>
        <row r="259">
          <cell r="A259" t="str">
            <v>SALGADERIA BARUC LTDA</v>
          </cell>
          <cell r="B259" t="str">
            <v>R$ 738,00</v>
          </cell>
        </row>
        <row r="260">
          <cell r="A260" t="str">
            <v>MEIRY APARECIDA DA SILVA</v>
          </cell>
          <cell r="B260" t="str">
            <v>R$ 276,00</v>
          </cell>
        </row>
        <row r="261">
          <cell r="A261" t="str">
            <v>B.FLOW CONSULTORIA LTDA</v>
          </cell>
          <cell r="B261" t="str">
            <v>R$ 426,00</v>
          </cell>
        </row>
        <row r="262">
          <cell r="A262" t="str">
            <v>ESTACIONAMENTO BOA VISTA LTDA</v>
          </cell>
          <cell r="B262" t="str">
            <v>R$ 747,00</v>
          </cell>
        </row>
        <row r="263">
          <cell r="A263" t="str">
            <v>BTCA COSMETICOS LTDA</v>
          </cell>
          <cell r="B263" t="str">
            <v>R$ 838,35</v>
          </cell>
        </row>
        <row r="264">
          <cell r="A264" t="str">
            <v>ALTAVISTA INTERNET LTDA</v>
          </cell>
          <cell r="B264" t="str">
            <v>R$ 1.147,00</v>
          </cell>
        </row>
        <row r="265">
          <cell r="A265" t="str">
            <v>SILVIA FONSECA LIMA</v>
          </cell>
          <cell r="B265" t="str">
            <v>R$ 156,00</v>
          </cell>
        </row>
        <row r="266">
          <cell r="A266" t="str">
            <v>CUGOLA SERVICOS MEDICOS LTDA</v>
          </cell>
          <cell r="B266" t="str">
            <v>R$ 639,00</v>
          </cell>
        </row>
        <row r="267">
          <cell r="A267" t="str">
            <v>ML ENGENHARIA E CONSULTORIA LTDA</v>
          </cell>
          <cell r="B267" t="str">
            <v>R$ 425,00</v>
          </cell>
        </row>
        <row r="268">
          <cell r="A268" t="str">
            <v>PEDRO FLEMING SCREEN GRAPHICS LTDA</v>
          </cell>
          <cell r="B268" t="str">
            <v>R$ 426,00</v>
          </cell>
        </row>
        <row r="269">
          <cell r="A269" t="str">
            <v>VM PARK LTDA</v>
          </cell>
          <cell r="B269" t="str">
            <v>R$ 907,00</v>
          </cell>
        </row>
        <row r="270">
          <cell r="A270" t="str">
            <v>POWERTECH CONSULTORIA LTDA</v>
          </cell>
          <cell r="B270" t="str">
            <v>R$ 213,00</v>
          </cell>
        </row>
        <row r="271">
          <cell r="A271" t="str">
            <v>GABRIEL SIQUEIRA SERVICO E CONSULTORIA LTDA</v>
          </cell>
          <cell r="B271" t="str">
            <v>R$ 425,00</v>
          </cell>
        </row>
        <row r="272">
          <cell r="A272" t="str">
            <v>POINT PARKING ESTACIONAMENTO LTDA</v>
          </cell>
          <cell r="B272" t="str">
            <v>R$ 172,00</v>
          </cell>
        </row>
        <row r="273">
          <cell r="A273" t="str">
            <v>OFICINA DAS LETRAS ENSINO DE LINGUAS E CULTURA LTDA</v>
          </cell>
          <cell r="B273" t="str">
            <v>R$ 950,00</v>
          </cell>
        </row>
        <row r="274">
          <cell r="A274" t="str">
            <v>LAC PRESTACAO DE SERVICOS MEDICOS LTDA</v>
          </cell>
          <cell r="B274" t="str">
            <v>R$ 425,00</v>
          </cell>
        </row>
        <row r="275">
          <cell r="A275" t="str">
            <v>MZC CONSTRUTORA LTDA</v>
          </cell>
          <cell r="B275" t="str">
            <v>R$ 1.056,00</v>
          </cell>
        </row>
        <row r="276">
          <cell r="A276" t="str">
            <v>MINAS GONZAGA REPRESENTACOES E DECORACAO DE INTERIORES LTDA</v>
          </cell>
          <cell r="B276" t="str">
            <v>R$ 160,00</v>
          </cell>
        </row>
        <row r="277">
          <cell r="A277" t="str">
            <v>CONDEX MATCH CAR LTDA</v>
          </cell>
          <cell r="B277" t="str">
            <v>R$ 1.066,00</v>
          </cell>
        </row>
        <row r="278">
          <cell r="A278" t="str">
            <v>AJM SERVICOS MEDICOS</v>
          </cell>
          <cell r="B278" t="str">
            <v>R$ 1.589,00</v>
          </cell>
        </row>
        <row r="279">
          <cell r="A279" t="str">
            <v>RJT NASCIMENTO LTDA</v>
          </cell>
          <cell r="B279" t="str">
            <v>R$ 448,00</v>
          </cell>
        </row>
        <row r="280">
          <cell r="A280" t="str">
            <v>MARA PEDROSA FISIO LTDA</v>
          </cell>
          <cell r="B280" t="str">
            <v>R$ 150,00</v>
          </cell>
        </row>
        <row r="281">
          <cell r="A281" t="str">
            <v>ADRIANA INFANTE MAGALHAES MARTINS</v>
          </cell>
          <cell r="B281" t="str">
            <v>R$ 106,00</v>
          </cell>
        </row>
        <row r="282">
          <cell r="A282" t="str">
            <v>CARMEM GUERRA DE OLIVEIRA</v>
          </cell>
          <cell r="B282" t="str">
            <v>R$ 160,00</v>
          </cell>
        </row>
        <row r="283">
          <cell r="A283" t="str">
            <v>D DA SILVA OLIVEIRA</v>
          </cell>
          <cell r="B283" t="str">
            <v>R$ 425,00</v>
          </cell>
        </row>
        <row r="284">
          <cell r="A284" t="str">
            <v>FONTES,OLIVEIRA,PACHECO &amp; COUTO LTDA</v>
          </cell>
          <cell r="B284" t="str">
            <v>R$ 1.707,00</v>
          </cell>
        </row>
        <row r="285">
          <cell r="A285" t="str">
            <v>PCV PRESTACAO DE SERVICOS MEDICOS LTDA</v>
          </cell>
          <cell r="B285" t="str">
            <v>R$ 425,00</v>
          </cell>
        </row>
        <row r="286">
          <cell r="A286" t="str">
            <v>LEORRO MEDICAMENTOS LTDA</v>
          </cell>
          <cell r="B286" t="str">
            <v>R$ 373,00</v>
          </cell>
        </row>
        <row r="287">
          <cell r="A287" t="str">
            <v>ELEVA CONSTRUCOES DE JUIZ DE FORA LTDA</v>
          </cell>
          <cell r="B287" t="str">
            <v>R$ 160,00</v>
          </cell>
        </row>
        <row r="288">
          <cell r="A288" t="str">
            <v>BTCA COSMETICOS LTDA</v>
          </cell>
          <cell r="B288" t="str">
            <v>R$ 838,35</v>
          </cell>
        </row>
        <row r="289">
          <cell r="A289" t="str">
            <v>BTCA COSMETICOS LTDA</v>
          </cell>
          <cell r="B289" t="str">
            <v>R$ 838,35</v>
          </cell>
        </row>
        <row r="290">
          <cell r="A290" t="str">
            <v>BTCA COSMETICOS LTDA</v>
          </cell>
          <cell r="B290" t="str">
            <v>R$ 838,35</v>
          </cell>
        </row>
        <row r="291">
          <cell r="A291" t="str">
            <v>BTCA COSMETICOS LTDA</v>
          </cell>
          <cell r="B291" t="str">
            <v>R$ 838,35</v>
          </cell>
        </row>
        <row r="292">
          <cell r="A292" t="str">
            <v>BTCA COSMETICOS LTDA</v>
          </cell>
          <cell r="B292" t="str">
            <v>R$ 838,35</v>
          </cell>
        </row>
        <row r="293">
          <cell r="A293" t="str">
            <v>BTCA COSMETICOS LTDA</v>
          </cell>
          <cell r="B293" t="str">
            <v>R$ 838,35</v>
          </cell>
        </row>
        <row r="294">
          <cell r="A294" t="str">
            <v>LIVA COSMETICOS E PERFUMARIA LTDA.</v>
          </cell>
          <cell r="B294" t="str">
            <v>R$ 838,35</v>
          </cell>
        </row>
        <row r="295">
          <cell r="A295" t="str">
            <v>LIVA COSMETICOS E PERFUMARIA LTDA.</v>
          </cell>
          <cell r="B295" t="str">
            <v>R$ 838,35</v>
          </cell>
        </row>
        <row r="296">
          <cell r="A296" t="str">
            <v>BTMM COSMETICOS LTDA</v>
          </cell>
          <cell r="B296" t="str">
            <v>R$ 838,35</v>
          </cell>
        </row>
        <row r="297">
          <cell r="A297" t="str">
            <v>BTMM COSMETICOS LTDA</v>
          </cell>
          <cell r="B297" t="str">
            <v>R$ 838,35</v>
          </cell>
        </row>
        <row r="298">
          <cell r="A298" t="str">
            <v>BTMM COSMETICOS LTDA</v>
          </cell>
          <cell r="B298" t="str">
            <v>R$ 838,35</v>
          </cell>
        </row>
        <row r="299">
          <cell r="A299" t="str">
            <v>BTMM COSMETICOS LTDA</v>
          </cell>
          <cell r="B299" t="str">
            <v>R$ 838,35</v>
          </cell>
        </row>
        <row r="300">
          <cell r="A300" t="str">
            <v>BTMM COSMETICOS LTDA</v>
          </cell>
          <cell r="B300" t="str">
            <v>R$ 838,35</v>
          </cell>
        </row>
        <row r="301">
          <cell r="A301" t="str">
            <v>BTMM COSMETICOS LTDA</v>
          </cell>
          <cell r="B301" t="str">
            <v>R$ 838,35</v>
          </cell>
        </row>
        <row r="302">
          <cell r="A302" t="str">
            <v>BTMM COSMETICOS LTDA</v>
          </cell>
          <cell r="B302" t="str">
            <v>R$ 838,35</v>
          </cell>
        </row>
        <row r="303">
          <cell r="A303" t="str">
            <v>BTMM COSMETICOS LTDA</v>
          </cell>
          <cell r="B303" t="str">
            <v>R$ 838,35</v>
          </cell>
        </row>
        <row r="304">
          <cell r="A304" t="str">
            <v>BTMM COSMETICOS LTDA</v>
          </cell>
          <cell r="B304" t="str">
            <v>R$ 838,35</v>
          </cell>
        </row>
        <row r="305">
          <cell r="A305" t="str">
            <v>BTMM COSMETICOS LTDA</v>
          </cell>
          <cell r="B305" t="str">
            <v>R$ 838,35</v>
          </cell>
        </row>
        <row r="306">
          <cell r="A306" t="str">
            <v>BTMM COSMETICOS LTDA</v>
          </cell>
          <cell r="B306" t="str">
            <v>R$ 838,35</v>
          </cell>
        </row>
        <row r="307">
          <cell r="A307" t="str">
            <v>BTMG COSMETICOS LTDA.</v>
          </cell>
          <cell r="B307" t="str">
            <v>R$ 838,35</v>
          </cell>
        </row>
        <row r="308">
          <cell r="A308" t="str">
            <v>BTMG COSMETICOS LTDA.</v>
          </cell>
          <cell r="B308" t="str">
            <v>R$ 838,35</v>
          </cell>
        </row>
        <row r="309">
          <cell r="A309" t="str">
            <v>BTMG COSMETICOS LTDA.</v>
          </cell>
          <cell r="B309" t="str">
            <v>R$ 838,35</v>
          </cell>
        </row>
        <row r="310">
          <cell r="A310" t="str">
            <v>BTMG COSMETICOS LTDA.</v>
          </cell>
          <cell r="B310" t="str">
            <v>R$ 838,35</v>
          </cell>
        </row>
        <row r="311">
          <cell r="A311" t="str">
            <v>BTMG COSMETICOS LTDA.</v>
          </cell>
          <cell r="B311" t="str">
            <v>R$ 838,35</v>
          </cell>
        </row>
        <row r="312">
          <cell r="A312" t="str">
            <v>BTMG COSMETICOS LTDA.</v>
          </cell>
          <cell r="B312" t="str">
            <v>R$ 838,35</v>
          </cell>
        </row>
        <row r="313">
          <cell r="A313" t="str">
            <v>BTMG COSMETICOS LTDA.</v>
          </cell>
          <cell r="B313" t="str">
            <v>R$ 838,35</v>
          </cell>
        </row>
        <row r="314">
          <cell r="A314" t="str">
            <v>BTMG COSMETICOS LTDA.</v>
          </cell>
          <cell r="B314" t="str">
            <v>R$ 838,35</v>
          </cell>
        </row>
        <row r="315">
          <cell r="A315" t="str">
            <v>BTMG COSMETICOS LTDA.</v>
          </cell>
          <cell r="B315" t="str">
            <v>R$ 838,35</v>
          </cell>
        </row>
        <row r="316">
          <cell r="A316" t="str">
            <v>BTCA COSMETICOS LTDA</v>
          </cell>
          <cell r="B316" t="str">
            <v>R$ 838,35</v>
          </cell>
        </row>
        <row r="317">
          <cell r="A317" t="str">
            <v>MARIA CECILIA BARBOSA VIEIRA DE ALMEIDA VILLELA</v>
          </cell>
          <cell r="B317" t="str">
            <v>R$ 400,00</v>
          </cell>
        </row>
        <row r="318">
          <cell r="A318" t="str">
            <v>MARIA CECILIA BARBOSA VIEIRA DE ALMEIDA VILLELA</v>
          </cell>
          <cell r="B318" t="str">
            <v>R$ 100,00</v>
          </cell>
        </row>
        <row r="319">
          <cell r="A319" t="str">
            <v>SALGADERIA LE BARUC LTDA</v>
          </cell>
          <cell r="B319" t="str">
            <v>R$ 738,00</v>
          </cell>
        </row>
        <row r="320">
          <cell r="A320" t="str">
            <v>INTERNI ARQUITETURA LTDA</v>
          </cell>
          <cell r="B320" t="str">
            <v>R$ 532,00</v>
          </cell>
        </row>
        <row r="321">
          <cell r="A321" t="str">
            <v>CENTRO MEDICO DE DERMATOLOGIA E PEQUENAS CIRURGIAS LTDA</v>
          </cell>
          <cell r="B321" t="str">
            <v>R$ 1.146,00</v>
          </cell>
        </row>
        <row r="322">
          <cell r="A322" t="str">
            <v>ALEXANDRE REZENDE MARUFF</v>
          </cell>
          <cell r="B322" t="str">
            <v>R$ 1.240,00</v>
          </cell>
        </row>
        <row r="323">
          <cell r="A323" t="str">
            <v>GAIA GESTAO EMPRESARIAL LTDA</v>
          </cell>
          <cell r="B323" t="str">
            <v>R$ 426,00</v>
          </cell>
        </row>
        <row r="324">
          <cell r="A324" t="str">
            <v>HCR MECANICA ESPECIALIZADA LTDA</v>
          </cell>
          <cell r="B324" t="str">
            <v>R$ 843,00</v>
          </cell>
        </row>
        <row r="325">
          <cell r="A325" t="str">
            <v>47.053.136 RENATA BRAGA LEITE</v>
          </cell>
          <cell r="B325" t="str">
            <v>R$ 416,00</v>
          </cell>
        </row>
        <row r="326">
          <cell r="A326" t="str">
            <v>IMEPP - ATENDIMENTO SOCIOASSISTENCIAL</v>
          </cell>
          <cell r="B326" t="str">
            <v>R$ 1.347,00</v>
          </cell>
        </row>
        <row r="327">
          <cell r="A327" t="str">
            <v>ASTON TEIXEIRAS INCORPORACOES SPE LTDA</v>
          </cell>
          <cell r="B327" t="str">
            <v>R$ 629,00</v>
          </cell>
        </row>
        <row r="328">
          <cell r="A328" t="str">
            <v>W G S - SERVICOS DE INFORMATICA E COMERCIO DE PRODUTOS ELETRONICOS LTDA.</v>
          </cell>
          <cell r="B328" t="str">
            <v>R$ 171,00</v>
          </cell>
        </row>
        <row r="329">
          <cell r="A329" t="str">
            <v>RAFAELA BREIJAO DE MELO - SERVICOS MEDICOS LTDA</v>
          </cell>
          <cell r="B329" t="str">
            <v>R$ 426,00</v>
          </cell>
        </row>
        <row r="330">
          <cell r="A330" t="str">
            <v>RAFAELA BREIJÃO DE MELO</v>
          </cell>
          <cell r="B330" t="str">
            <v>R$ 192,00</v>
          </cell>
        </row>
        <row r="331">
          <cell r="A331" t="str">
            <v>VARDIERO SAUDE LTDA</v>
          </cell>
          <cell r="B331" t="str">
            <v>R$ 426,00</v>
          </cell>
        </row>
        <row r="332">
          <cell r="A332" t="str">
            <v>NCMC DESENVOLVIMENTO DE SOFTWARE LTDA</v>
          </cell>
          <cell r="B332" t="str">
            <v>R$ 959,00</v>
          </cell>
        </row>
        <row r="333">
          <cell r="A333" t="str">
            <v>ORTOPEDIA H. B. LTDA</v>
          </cell>
          <cell r="B333" t="str">
            <v>R$ 53,00</v>
          </cell>
        </row>
        <row r="334">
          <cell r="A334" t="str">
            <v>GERIATRIA ATENDIMENTO MEDICO LTDA</v>
          </cell>
          <cell r="B334" t="str">
            <v>R$ 736,00</v>
          </cell>
        </row>
        <row r="335">
          <cell r="A335" t="str">
            <v>GISELE DA DALT TOSTES SOUZA</v>
          </cell>
          <cell r="B335" t="str">
            <v>R$ 460,00</v>
          </cell>
        </row>
        <row r="336">
          <cell r="A336" t="str">
            <v>Fabrina Carvalho  de Almeida Picinini</v>
          </cell>
          <cell r="B336" t="str">
            <v>R$ 266,00</v>
          </cell>
        </row>
        <row r="337">
          <cell r="A337" t="str">
            <v>BRUNA RENATA PINHEIRO CARVALHO</v>
          </cell>
          <cell r="B337" t="str">
            <v>R$ 350,00</v>
          </cell>
        </row>
        <row r="338">
          <cell r="A338" t="str">
            <v>CASTRO NEUROLOGIA PEDIATRICA LTDA.</v>
          </cell>
          <cell r="B338" t="str">
            <v>R$ 790,00</v>
          </cell>
        </row>
        <row r="339">
          <cell r="A339" t="str">
            <v>SALVADOR CHICRALLA CHACUR</v>
          </cell>
          <cell r="B339" t="str">
            <v>R$ 0,00</v>
          </cell>
        </row>
        <row r="340">
          <cell r="A340" t="str">
            <v>CHICRALLA CHACUR PATRIMONIAL LTDA</v>
          </cell>
          <cell r="B340" t="str">
            <v>R$ 614,00</v>
          </cell>
        </row>
        <row r="341">
          <cell r="A341" t="str">
            <v>MARCELO VIEIRA BRAGA ESPINDOLA</v>
          </cell>
          <cell r="B341" t="str">
            <v>R$ 160,00</v>
          </cell>
        </row>
        <row r="342">
          <cell r="A342" t="str">
            <v>BELLE VIE SAUDE E MEDICINA LTDA</v>
          </cell>
          <cell r="B342" t="str">
            <v>R$ 599,00</v>
          </cell>
        </row>
        <row r="343">
          <cell r="A343" t="str">
            <v>INSTITUTO DE ESTUDO E PESQUISA CLÍNICA DE JUIZ DE FORA LTDA</v>
          </cell>
          <cell r="B343" t="str">
            <v>R$ 200,00</v>
          </cell>
        </row>
        <row r="344">
          <cell r="A344" t="str">
            <v>MARCIA DUTRA DE MORAES</v>
          </cell>
          <cell r="B344" t="str">
            <v>R$ 160,00</v>
          </cell>
        </row>
        <row r="345">
          <cell r="A345" t="str">
            <v>PAULA DE MOURA E SILVA TOLEDO</v>
          </cell>
          <cell r="B345" t="str">
            <v>R$ 400,00</v>
          </cell>
        </row>
        <row r="346">
          <cell r="A346" t="str">
            <v>RAIMUNDO NONATO DOS SANTOS FERREIRA 02768260355</v>
          </cell>
          <cell r="B346" t="str">
            <v>R$ 600,00</v>
          </cell>
        </row>
        <row r="347">
          <cell r="A347" t="str">
            <v>15.378.340 PAULO DOS SANTOS FERREIRA</v>
          </cell>
          <cell r="B347" t="str">
            <v>R$ 600,00</v>
          </cell>
        </row>
        <row r="348">
          <cell r="A348" t="str">
            <v>LCG CONSULTORIA E SERVICOS LTDA</v>
          </cell>
          <cell r="B348" t="str">
            <v>R$ 400,00</v>
          </cell>
        </row>
        <row r="349">
          <cell r="A349" t="str">
            <v>CLINICA NAYARA BORGES LTDA</v>
          </cell>
          <cell r="B349" t="str">
            <v>R$ 690,00</v>
          </cell>
        </row>
        <row r="350">
          <cell r="A350" t="str">
            <v>JOSE CARLOS MENDES FERREIRA</v>
          </cell>
          <cell r="B350" t="str">
            <v>R$ 142,00</v>
          </cell>
        </row>
        <row r="351">
          <cell r="A351" t="str">
            <v>MOARA RESIDENCIAS LTDA</v>
          </cell>
          <cell r="B351" t="str">
            <v>R$ 590,00</v>
          </cell>
        </row>
        <row r="352">
          <cell r="A352" t="str">
            <v>VANESSA BRUM PACHECO</v>
          </cell>
          <cell r="B352" t="str">
            <v>R$ 250,00</v>
          </cell>
        </row>
        <row r="353">
          <cell r="A353" t="str">
            <v>NATHALIA KNOPP DE LIMA</v>
          </cell>
          <cell r="B353" t="str">
            <v>R$ 250,00</v>
          </cell>
        </row>
        <row r="354">
          <cell r="A354" t="str">
            <v>JT CLINICA ODONTOLOGICA LTDA</v>
          </cell>
          <cell r="B354" t="str">
            <v>R$ 150,00</v>
          </cell>
        </row>
        <row r="355">
          <cell r="A355" t="str">
            <v>AMMA CLINICA DE FISIOTERAPIA LTDA</v>
          </cell>
          <cell r="B355" t="str">
            <v>R$ 890,00</v>
          </cell>
        </row>
        <row r="356">
          <cell r="A356" t="str">
            <v>CARDIOIMAGEM CLINICA MEDICA LTDA</v>
          </cell>
          <cell r="B356" t="str">
            <v>R$ 3.290,00</v>
          </cell>
        </row>
        <row r="357">
          <cell r="A357" t="str">
            <v>39.232.411 LETICIA CARDOZO DE MELO CAMPOS</v>
          </cell>
          <cell r="B357" t="str">
            <v>R$ 490,00</v>
          </cell>
        </row>
        <row r="358">
          <cell r="A358" t="str">
            <v>BARRA SERVICOS ADMINISTRATIVOS LTDA</v>
          </cell>
          <cell r="B358" t="str">
            <v>R$ 690,00</v>
          </cell>
        </row>
        <row r="359">
          <cell r="A359" t="str">
            <v>VHESTI ALUGUEL DE VESTIDOS LTDA</v>
          </cell>
          <cell r="B359" t="str">
            <v>R$ 1.157,00</v>
          </cell>
        </row>
        <row r="360">
          <cell r="A360" t="str">
            <v>AGFA ADMINISTRACAO DE IMOVEIS LTDA</v>
          </cell>
          <cell r="B360" t="str">
            <v>R$ 750,00</v>
          </cell>
        </row>
        <row r="361">
          <cell r="A361" t="str">
            <v>JF PASCHOALINO SERVICOS MEDICOS LTDA</v>
          </cell>
          <cell r="B361" t="str">
            <v>R$ 800,00</v>
          </cell>
        </row>
        <row r="362">
          <cell r="A362" t="str">
            <v>REZENDE PROMOCAO EM VENDAS E SERVICOS ADMINISTRATIVOS LTDA</v>
          </cell>
          <cell r="B362" t="str">
            <v>R$ 300,00</v>
          </cell>
        </row>
        <row r="363">
          <cell r="A363" t="str">
            <v>JABOUR E OLIVA - SOCIEDADE DE ADVOGADOS</v>
          </cell>
          <cell r="B363" t="str">
            <v>R$ 690,00</v>
          </cell>
        </row>
        <row r="364">
          <cell r="A364" t="str">
            <v>ASSOCIACAO PEDAL JF</v>
          </cell>
          <cell r="B364" t="str">
            <v>R$ 150,00</v>
          </cell>
        </row>
        <row r="365">
          <cell r="A365" t="str">
            <v>EMILIA AMELIA FERREIRA DAVID</v>
          </cell>
          <cell r="B365" t="str">
            <v>R$ 170,00</v>
          </cell>
        </row>
        <row r="366">
          <cell r="A366" t="str">
            <v>RENNOVAGESTAO BRASIL FINANCEIRO LTDA</v>
          </cell>
          <cell r="B366" t="str">
            <v>R$ 490,00</v>
          </cell>
        </row>
        <row r="367">
          <cell r="A367" t="str">
            <v>CARONE CAPITAL HOLDING LTDA</v>
          </cell>
          <cell r="B367" t="str">
            <v>R$ 650,00</v>
          </cell>
        </row>
        <row r="368">
          <cell r="A368" t="str">
            <v>INSTITUTO DE MEDICINA ONCOLOGICA LTDA</v>
          </cell>
          <cell r="B368" t="str">
            <v>R$ 1.517,00</v>
          </cell>
        </row>
        <row r="369">
          <cell r="A369" t="str">
            <v>THAIS FURTADO SERVICO ODONTOLOGICO LTDA</v>
          </cell>
          <cell r="B369" t="str">
            <v>R$ 150,00</v>
          </cell>
        </row>
        <row r="370">
          <cell r="A370" t="str">
            <v>MARIANA PADILHA LUCIANO SCHALCHER DE ALMEIDA SERVICOS MEDICOS LTDA</v>
          </cell>
          <cell r="B370" t="str">
            <v>R$ 150,00</v>
          </cell>
        </row>
        <row r="371">
          <cell r="A371" t="str">
            <v>R. S. L. REPRESENTACAO COMERCIAL LTDA</v>
          </cell>
          <cell r="B371" t="str">
            <v>R$ 540,00</v>
          </cell>
        </row>
        <row r="372">
          <cell r="A372" t="str">
            <v>COUTO GUERRA IMOVEIS LTDA</v>
          </cell>
          <cell r="B372" t="str">
            <v>R$ 990,00</v>
          </cell>
        </row>
        <row r="373">
          <cell r="A373" t="str">
            <v>RAFEFA SERVICOS E FESTAS LTDA</v>
          </cell>
          <cell r="B373" t="str">
            <v>R$ 1.400,00</v>
          </cell>
        </row>
        <row r="374">
          <cell r="A374" t="str">
            <v>STRUTTURA EDITORA E CERIMONIAIS LTDA</v>
          </cell>
          <cell r="B374" t="str">
            <v>R$ 1.400,00</v>
          </cell>
        </row>
        <row r="375">
          <cell r="A375" t="str">
            <v>EMBELEZARTE CIRURGIA PLASTICA LTDA</v>
          </cell>
          <cell r="B375" t="str">
            <v>R$ 801,00</v>
          </cell>
        </row>
        <row r="376">
          <cell r="A376" t="str">
            <v>PLASTIC CENTER - CLINICA DE CIRURGIA PLASTICA LTDA.</v>
          </cell>
          <cell r="B376" t="str">
            <v>R$ 1.800,00</v>
          </cell>
        </row>
        <row r="377">
          <cell r="A377" t="str">
            <v>MARVAL PARTICIPACOES LTDA</v>
          </cell>
          <cell r="B377" t="str">
            <v>R$ 690,00</v>
          </cell>
        </row>
        <row r="378">
          <cell r="A378" t="str">
            <v>LM DESENVOLVIMENTO PROFISSIONAL LTDA</v>
          </cell>
          <cell r="B378" t="str">
            <v>R$ 490,00</v>
          </cell>
        </row>
        <row r="379">
          <cell r="A379" t="str">
            <v>KAROLINE MONTEIRO KAIZER</v>
          </cell>
          <cell r="B379" t="str">
            <v>R$ 740,00</v>
          </cell>
        </row>
        <row r="380">
          <cell r="A380" t="str">
            <v>GUERRA FRAGA PARTICIPACOES LTDA</v>
          </cell>
          <cell r="B380" t="str">
            <v>R$ 650,00</v>
          </cell>
        </row>
        <row r="381">
          <cell r="A381" t="str">
            <v>RAFAEL DE OLIVEIRA FRAGA</v>
          </cell>
          <cell r="B381" t="str">
            <v>R$ 250,00</v>
          </cell>
        </row>
        <row r="382">
          <cell r="A382" t="str">
            <v>BAR DO BIGODE E XORORO LTDA</v>
          </cell>
          <cell r="B382" t="str">
            <v>R$ 1.000,00</v>
          </cell>
        </row>
        <row r="383">
          <cell r="A383" t="str">
            <v>VTR OBRAS &amp; PROJETOS LTDA</v>
          </cell>
          <cell r="B383" t="str">
            <v>R$ 990,00</v>
          </cell>
        </row>
        <row r="384">
          <cell r="A384" t="str">
            <v>CARDIOINTENSIVA JUIZ DE FORA SERVICOS MEDICOS LTDA</v>
          </cell>
          <cell r="B384" t="str">
            <v>R$ 750,00</v>
          </cell>
        </row>
        <row r="385">
          <cell r="A385" t="str">
            <v>D DA SILVA OLIVEIRA</v>
          </cell>
          <cell r="B385" t="str">
            <v>R$ 25,00</v>
          </cell>
        </row>
        <row r="386">
          <cell r="A386" t="str">
            <v>FLÁVIA DE GUIMARES DA SILVA PASCHOALINO</v>
          </cell>
          <cell r="B386" t="str">
            <v>R$ 400,00</v>
          </cell>
        </row>
        <row r="387">
          <cell r="A387" t="str">
            <v>HELCIO COSTA PASCHOALINO JUNIOR</v>
          </cell>
          <cell r="B387" t="str">
            <v>R$ 400,00</v>
          </cell>
        </row>
        <row r="388">
          <cell r="A388" t="str">
            <v>GLADYS ARLENE BISAGGIO MAINENTI</v>
          </cell>
          <cell r="B388" t="str">
            <v>R$ 200,00</v>
          </cell>
        </row>
        <row r="389">
          <cell r="A389" t="str">
            <v>CONDOMINIO DO EDF SOVAIR</v>
          </cell>
          <cell r="B389" t="str">
            <v>R$ 120,00</v>
          </cell>
        </row>
        <row r="390">
          <cell r="A390" t="str">
            <v>CONDOMINIO DO EDIFICIO QUINTAS DA AVENIDA</v>
          </cell>
          <cell r="B390" t="str">
            <v>R$ 120,00</v>
          </cell>
        </row>
        <row r="391">
          <cell r="A391" t="str">
            <v>CONDOMINIO DO EDIFICIO SANTONIO</v>
          </cell>
          <cell r="B391" t="str">
            <v>R$ 120,00</v>
          </cell>
        </row>
        <row r="392">
          <cell r="A392" t="str">
            <v>CONDOMINIO EDIFICIO RETIRO DO SOL</v>
          </cell>
          <cell r="B392" t="str">
            <v>R$ 120,00</v>
          </cell>
        </row>
        <row r="393">
          <cell r="A393" t="str">
            <v>SCP VASTO CASAS EM CONDOMINIO</v>
          </cell>
          <cell r="B393" t="str">
            <v>R$ 800,00</v>
          </cell>
        </row>
        <row r="394">
          <cell r="A394" t="str">
            <v>LUMEN EDUCACAO LTDA</v>
          </cell>
          <cell r="B394" t="str">
            <v>R$ 540,00</v>
          </cell>
        </row>
        <row r="395">
          <cell r="A395" t="str">
            <v>BRASIL NEGOCIOS IMOBILIARIOS LTDA</v>
          </cell>
          <cell r="B395" t="str">
            <v>R$ 1.800,00</v>
          </cell>
        </row>
        <row r="396">
          <cell r="A396" t="str">
            <v>LRRO CAPITAL LTDA</v>
          </cell>
          <cell r="B396" t="str">
            <v>R$ 450,00</v>
          </cell>
        </row>
        <row r="397">
          <cell r="A397" t="str">
            <v>SOCIEDADE DE ANESTESIA E MEDICINA PERIOPERATORIA DE JUIZ DE FORA LTDA</v>
          </cell>
          <cell r="B397" t="str">
            <v>R$ 1.600,00</v>
          </cell>
        </row>
        <row r="398">
          <cell r="A398" t="str">
            <v>S&amp;S PARTICIPACOES LTDA</v>
          </cell>
          <cell r="B398" t="str">
            <v>R$ 650,00</v>
          </cell>
        </row>
        <row r="399">
          <cell r="A399" t="str">
            <v>LRRO CAPITAL LTDA</v>
          </cell>
          <cell r="B399" t="str">
            <v>R$ 350,00</v>
          </cell>
        </row>
        <row r="400">
          <cell r="A400" t="str">
            <v>ESTACIONAMENTO BOA VISTA LTDA</v>
          </cell>
          <cell r="B400" t="str">
            <v>R$ 153,00</v>
          </cell>
        </row>
        <row r="401">
          <cell r="A401" t="str">
            <v>JULIANA BARROS OLIVEIRA</v>
          </cell>
          <cell r="B401" t="str">
            <v>R$ 500,00</v>
          </cell>
        </row>
        <row r="402">
          <cell r="A402" t="str">
            <v>BRASIL NEGOCIOS IMOBILIARIOS LTDA</v>
          </cell>
          <cell r="B402" t="str">
            <v>R$ 122,00</v>
          </cell>
        </row>
        <row r="403">
          <cell r="A403" t="str">
            <v>LUIZ ALBERTO PRADO</v>
          </cell>
          <cell r="B403" t="str">
            <v>R$ 200,00</v>
          </cell>
        </row>
        <row r="404">
          <cell r="A404" t="str">
            <v>CEDROLA E ALVARENGA PARTICIPACOES LTDA</v>
          </cell>
          <cell r="B404" t="str">
            <v>R$ 650,00</v>
          </cell>
        </row>
        <row r="405">
          <cell r="A405" t="str">
            <v>INSTITUTO SAO CAMILO DE LELIS LTDA</v>
          </cell>
          <cell r="B405" t="str">
            <v>R$ 740,00</v>
          </cell>
        </row>
        <row r="406">
          <cell r="A406" t="str">
            <v>BEAUTYOU NEGOCIOS DIGITAIS LTDA</v>
          </cell>
          <cell r="B406" t="str">
            <v>R$ 540,00</v>
          </cell>
        </row>
        <row r="407">
          <cell r="A407" t="str">
            <v>TAYLA A. P. MARQUES</v>
          </cell>
          <cell r="B407" t="str">
            <v>R$ 740,00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605"/>
  <sheetViews>
    <sheetView tabSelected="1" topLeftCell="A102" workbookViewId="0">
      <selection activeCell="A115" sqref="A115:M115"/>
    </sheetView>
  </sheetViews>
  <sheetFormatPr defaultRowHeight="15"/>
  <cols>
    <col min="1" max="1" width="67.42578125" style="5" customWidth="1"/>
    <col min="2" max="2" width="18" style="2" customWidth="1"/>
    <col min="3" max="3" width="16.28515625" style="2" customWidth="1"/>
    <col min="4" max="4" width="17.28515625" style="2" customWidth="1"/>
    <col min="5" max="5" width="7.28515625" style="2" customWidth="1"/>
    <col min="6" max="6" width="6.5703125" style="2" customWidth="1"/>
    <col min="7" max="7" width="15.7109375" style="2" customWidth="1"/>
    <col min="8" max="8" width="6.42578125" style="2" customWidth="1"/>
    <col min="9" max="9" width="16.140625" style="2" customWidth="1"/>
    <col min="10" max="10" width="12.85546875" style="2" customWidth="1"/>
    <col min="11" max="11" width="18.140625" style="2" customWidth="1"/>
    <col min="12" max="12" width="17" style="2" customWidth="1"/>
    <col min="13" max="13" width="12.140625" style="2" customWidth="1"/>
    <col min="14" max="14" width="11.5703125" hidden="1" customWidth="1"/>
    <col min="15" max="15" width="10.7109375" hidden="1" customWidth="1"/>
  </cols>
  <sheetData>
    <row r="1" spans="1:15">
      <c r="A1" s="3" t="s">
        <v>571</v>
      </c>
      <c r="B1" s="1" t="s">
        <v>0</v>
      </c>
      <c r="C1" s="1" t="s">
        <v>1</v>
      </c>
      <c r="D1" s="1" t="s">
        <v>576</v>
      </c>
      <c r="E1" s="1" t="s">
        <v>2</v>
      </c>
      <c r="F1" s="1" t="s">
        <v>3</v>
      </c>
      <c r="G1" s="1" t="s">
        <v>4</v>
      </c>
      <c r="H1" s="6" t="s">
        <v>5</v>
      </c>
      <c r="I1" s="7" t="s">
        <v>574</v>
      </c>
      <c r="J1" s="7" t="s">
        <v>572</v>
      </c>
      <c r="K1" s="7" t="s">
        <v>573</v>
      </c>
      <c r="L1" s="7" t="s">
        <v>575</v>
      </c>
      <c r="M1" s="8" t="s">
        <v>577</v>
      </c>
    </row>
    <row r="2" spans="1:15">
      <c r="A2" s="16" t="s">
        <v>6</v>
      </c>
      <c r="B2" s="17" t="s">
        <v>7</v>
      </c>
      <c r="C2" s="17" t="s">
        <v>8</v>
      </c>
      <c r="D2" s="17" t="s">
        <v>588</v>
      </c>
      <c r="E2" s="17">
        <v>1</v>
      </c>
      <c r="F2" s="17">
        <v>2</v>
      </c>
      <c r="G2" s="18">
        <v>54629</v>
      </c>
      <c r="H2" s="19"/>
      <c r="I2" s="19" t="s">
        <v>578</v>
      </c>
      <c r="J2" s="19" t="s">
        <v>579</v>
      </c>
      <c r="K2" s="19" t="s">
        <v>579</v>
      </c>
      <c r="L2" s="22">
        <v>655</v>
      </c>
      <c r="M2" s="22">
        <v>480</v>
      </c>
      <c r="N2" t="str">
        <f>IFERROR(VLOOKUP(A2,[1]Worksheet!A:B,2,FALSE),"")</f>
        <v>R$ 655,00</v>
      </c>
      <c r="O2" s="23"/>
    </row>
    <row r="3" spans="1:15">
      <c r="A3" s="4" t="s">
        <v>9</v>
      </c>
      <c r="B3" s="9" t="s">
        <v>10</v>
      </c>
      <c r="C3" s="9" t="s">
        <v>8</v>
      </c>
      <c r="D3" s="9" t="s">
        <v>589</v>
      </c>
      <c r="E3" s="9">
        <v>1</v>
      </c>
      <c r="F3" s="9">
        <v>1</v>
      </c>
      <c r="G3" s="10"/>
      <c r="H3" s="11"/>
      <c r="I3" s="11" t="s">
        <v>578</v>
      </c>
      <c r="J3" s="11" t="s">
        <v>579</v>
      </c>
      <c r="K3" s="11" t="s">
        <v>580</v>
      </c>
      <c r="L3" s="12">
        <v>750</v>
      </c>
      <c r="M3" s="12"/>
      <c r="N3" t="str">
        <f>IFERROR(VLOOKUP(A3,[1]Worksheet!A:B,2,FALSE),"")</f>
        <v>R$ 750,00</v>
      </c>
      <c r="O3" s="23"/>
    </row>
    <row r="4" spans="1:15">
      <c r="A4" s="15" t="s">
        <v>11</v>
      </c>
      <c r="B4" s="17" t="s">
        <v>12</v>
      </c>
      <c r="C4" s="17" t="s">
        <v>8</v>
      </c>
      <c r="D4" s="17" t="s">
        <v>590</v>
      </c>
      <c r="E4" s="17">
        <v>1</v>
      </c>
      <c r="F4" s="17">
        <v>3</v>
      </c>
      <c r="G4" s="18">
        <v>1293400.81</v>
      </c>
      <c r="H4" s="19"/>
      <c r="I4" s="19" t="s">
        <v>578</v>
      </c>
      <c r="J4" s="19" t="s">
        <v>579</v>
      </c>
      <c r="K4" s="19" t="s">
        <v>579</v>
      </c>
      <c r="L4" s="22">
        <v>1590</v>
      </c>
      <c r="M4" s="22">
        <v>1030</v>
      </c>
      <c r="N4" t="str">
        <f>IFERROR(VLOOKUP(A4,[1]Worksheet!A:B,2,FALSE),"")</f>
        <v>R$ 1.589,00</v>
      </c>
      <c r="O4" s="23"/>
    </row>
    <row r="5" spans="1:15">
      <c r="A5" s="15" t="s">
        <v>13</v>
      </c>
      <c r="B5" s="17" t="s">
        <v>14</v>
      </c>
      <c r="C5" s="17" t="s">
        <v>8</v>
      </c>
      <c r="D5" s="17" t="s">
        <v>590</v>
      </c>
      <c r="E5" s="17">
        <v>1</v>
      </c>
      <c r="F5" s="17">
        <v>1</v>
      </c>
      <c r="G5" s="18">
        <v>492728.43999999994</v>
      </c>
      <c r="H5" s="19"/>
      <c r="I5" s="19" t="s">
        <v>578</v>
      </c>
      <c r="J5" s="19" t="s">
        <v>579</v>
      </c>
      <c r="K5" s="19" t="s">
        <v>579</v>
      </c>
      <c r="L5" s="22">
        <v>610</v>
      </c>
      <c r="M5" s="22">
        <v>480</v>
      </c>
      <c r="N5" t="str">
        <f>IFERROR(VLOOKUP(A5,[1]Worksheet!A:B,2,FALSE),"")</f>
        <v>R$ 610,00</v>
      </c>
      <c r="O5" s="23"/>
    </row>
    <row r="6" spans="1:15">
      <c r="A6" s="16" t="s">
        <v>15</v>
      </c>
      <c r="B6" s="17" t="s">
        <v>16</v>
      </c>
      <c r="C6" s="17" t="s">
        <v>8</v>
      </c>
      <c r="D6" s="17" t="s">
        <v>591</v>
      </c>
      <c r="E6" s="17">
        <v>2</v>
      </c>
      <c r="F6" s="17">
        <v>2</v>
      </c>
      <c r="G6" s="18">
        <v>2048401.6800000002</v>
      </c>
      <c r="H6" s="19"/>
      <c r="I6" s="19" t="s">
        <v>578</v>
      </c>
      <c r="J6" s="19" t="s">
        <v>579</v>
      </c>
      <c r="K6" s="19" t="s">
        <v>581</v>
      </c>
      <c r="L6" s="22">
        <v>1697</v>
      </c>
      <c r="M6" s="22">
        <v>1630</v>
      </c>
      <c r="O6" s="23">
        <v>1620</v>
      </c>
    </row>
    <row r="7" spans="1:15">
      <c r="A7" s="4" t="s">
        <v>17</v>
      </c>
      <c r="B7" s="9" t="s">
        <v>18</v>
      </c>
      <c r="C7" s="9" t="s">
        <v>8</v>
      </c>
      <c r="D7" s="9" t="s">
        <v>588</v>
      </c>
      <c r="E7" s="9">
        <v>1</v>
      </c>
      <c r="F7" s="9">
        <v>3</v>
      </c>
      <c r="G7" s="10">
        <v>536152.52999999991</v>
      </c>
      <c r="H7" s="11"/>
      <c r="I7" s="11" t="s">
        <v>578</v>
      </c>
      <c r="J7" s="11" t="s">
        <v>579</v>
      </c>
      <c r="K7" s="11" t="s">
        <v>579</v>
      </c>
      <c r="L7" s="12">
        <v>1620</v>
      </c>
      <c r="M7" s="12"/>
      <c r="N7" t="str">
        <f>IFERROR(VLOOKUP(A7,[1]Worksheet!A:B,2,FALSE),"")</f>
        <v>R$ 1.620,00</v>
      </c>
      <c r="O7" s="23"/>
    </row>
    <row r="8" spans="1:15">
      <c r="A8" s="4" t="s">
        <v>19</v>
      </c>
      <c r="B8" s="9" t="s">
        <v>20</v>
      </c>
      <c r="C8" s="9" t="s">
        <v>8</v>
      </c>
      <c r="D8" s="9" t="s">
        <v>591</v>
      </c>
      <c r="E8" s="9">
        <v>1</v>
      </c>
      <c r="F8" s="9">
        <v>2</v>
      </c>
      <c r="G8" s="10">
        <v>14498</v>
      </c>
      <c r="H8" s="11"/>
      <c r="I8" s="11" t="s">
        <v>578</v>
      </c>
      <c r="J8" s="11" t="s">
        <v>579</v>
      </c>
      <c r="K8" s="11" t="s">
        <v>579</v>
      </c>
      <c r="L8" s="12">
        <v>299</v>
      </c>
      <c r="M8" s="12"/>
      <c r="O8" s="23">
        <v>1594</v>
      </c>
    </row>
    <row r="9" spans="1:15">
      <c r="A9" s="4" t="s">
        <v>21</v>
      </c>
      <c r="B9" s="9" t="s">
        <v>22</v>
      </c>
      <c r="C9" s="9" t="s">
        <v>8</v>
      </c>
      <c r="D9" s="9"/>
      <c r="E9" s="9">
        <v>1</v>
      </c>
      <c r="F9" s="9">
        <v>0</v>
      </c>
      <c r="G9" s="10"/>
      <c r="H9" s="11">
        <v>1</v>
      </c>
      <c r="I9" s="11" t="s">
        <v>582</v>
      </c>
      <c r="J9" s="11" t="s">
        <v>579</v>
      </c>
      <c r="K9" s="11" t="s">
        <v>579</v>
      </c>
      <c r="L9" s="12">
        <v>510</v>
      </c>
      <c r="M9" s="12"/>
      <c r="O9" s="23">
        <v>849</v>
      </c>
    </row>
    <row r="10" spans="1:15">
      <c r="A10" s="4" t="s">
        <v>23</v>
      </c>
      <c r="B10" s="9" t="s">
        <v>24</v>
      </c>
      <c r="C10" s="9" t="s">
        <v>8</v>
      </c>
      <c r="D10" s="9"/>
      <c r="E10" s="9">
        <v>1</v>
      </c>
      <c r="F10" s="9">
        <v>0</v>
      </c>
      <c r="G10" s="10"/>
      <c r="H10" s="11">
        <v>2</v>
      </c>
      <c r="I10" s="11" t="s">
        <v>582</v>
      </c>
      <c r="J10" s="11" t="s">
        <v>579</v>
      </c>
      <c r="K10" s="11" t="s">
        <v>579</v>
      </c>
      <c r="L10" s="12"/>
      <c r="M10" s="12"/>
      <c r="O10" s="23">
        <v>750</v>
      </c>
    </row>
    <row r="11" spans="1:15">
      <c r="A11" s="4" t="s">
        <v>25</v>
      </c>
      <c r="B11" s="9" t="s">
        <v>26</v>
      </c>
      <c r="C11" s="9" t="s">
        <v>8</v>
      </c>
      <c r="D11" s="9" t="s">
        <v>588</v>
      </c>
      <c r="E11" s="9">
        <v>1</v>
      </c>
      <c r="F11" s="9">
        <v>2</v>
      </c>
      <c r="G11" s="10">
        <v>59383.679999999993</v>
      </c>
      <c r="H11" s="11"/>
      <c r="I11" s="11" t="s">
        <v>578</v>
      </c>
      <c r="J11" s="11" t="s">
        <v>579</v>
      </c>
      <c r="K11" s="11" t="s">
        <v>579</v>
      </c>
      <c r="L11" s="12">
        <v>629</v>
      </c>
      <c r="M11" s="12"/>
      <c r="N11" t="str">
        <f>IFERROR(VLOOKUP(A11,[1]Worksheet!A:B,2,FALSE),"")</f>
        <v>R$ 629,00</v>
      </c>
      <c r="O11" s="23"/>
    </row>
    <row r="12" spans="1:15">
      <c r="A12" s="16" t="s">
        <v>27</v>
      </c>
      <c r="B12" s="17" t="s">
        <v>28</v>
      </c>
      <c r="C12" s="17" t="s">
        <v>8</v>
      </c>
      <c r="D12" s="17" t="s">
        <v>590</v>
      </c>
      <c r="E12" s="17">
        <v>1</v>
      </c>
      <c r="F12" s="17">
        <v>4</v>
      </c>
      <c r="G12" s="18">
        <v>1026746.92</v>
      </c>
      <c r="H12" s="19">
        <v>1</v>
      </c>
      <c r="I12" s="19" t="s">
        <v>578</v>
      </c>
      <c r="J12" s="19" t="s">
        <v>579</v>
      </c>
      <c r="K12" s="19" t="s">
        <v>579</v>
      </c>
      <c r="L12" s="22">
        <v>1594</v>
      </c>
      <c r="M12" s="22">
        <v>960</v>
      </c>
      <c r="N12" t="str">
        <f>IFERROR(VLOOKUP(A12,[1]Worksheet!A:B,2,FALSE),"")</f>
        <v>R$ 1.594,00</v>
      </c>
      <c r="O12" s="23"/>
    </row>
    <row r="13" spans="1:15">
      <c r="A13" s="16" t="s">
        <v>29</v>
      </c>
      <c r="B13" s="17" t="s">
        <v>30</v>
      </c>
      <c r="C13" s="17" t="s">
        <v>8</v>
      </c>
      <c r="D13" s="17" t="s">
        <v>592</v>
      </c>
      <c r="E13" s="17">
        <v>1</v>
      </c>
      <c r="F13" s="17">
        <v>3</v>
      </c>
      <c r="G13" s="18">
        <v>3970495.7099999995</v>
      </c>
      <c r="H13" s="19">
        <v>18</v>
      </c>
      <c r="I13" s="19" t="s">
        <v>578</v>
      </c>
      <c r="J13" s="19" t="s">
        <v>579</v>
      </c>
      <c r="K13" s="19" t="s">
        <v>581</v>
      </c>
      <c r="L13" s="22">
        <v>1707</v>
      </c>
      <c r="M13" s="22">
        <v>5640</v>
      </c>
      <c r="O13" s="23">
        <v>1707</v>
      </c>
    </row>
    <row r="14" spans="1:15">
      <c r="A14" s="16" t="s">
        <v>31</v>
      </c>
      <c r="B14" s="17" t="s">
        <v>32</v>
      </c>
      <c r="C14" s="17" t="s">
        <v>8</v>
      </c>
      <c r="D14" s="17" t="s">
        <v>590</v>
      </c>
      <c r="E14" s="17">
        <v>1</v>
      </c>
      <c r="F14" s="17">
        <v>2</v>
      </c>
      <c r="G14" s="18">
        <v>390254.74</v>
      </c>
      <c r="H14" s="19"/>
      <c r="I14" s="19" t="s">
        <v>578</v>
      </c>
      <c r="J14" s="19" t="s">
        <v>579</v>
      </c>
      <c r="K14" s="19" t="s">
        <v>579</v>
      </c>
      <c r="L14" s="22">
        <v>849</v>
      </c>
      <c r="M14" s="22">
        <v>480</v>
      </c>
      <c r="N14" t="str">
        <f>IFERROR(VLOOKUP(A14,[1]Worksheet!A:B,2,FALSE),"")</f>
        <v>R$ 849,00</v>
      </c>
      <c r="O14" s="23"/>
    </row>
    <row r="15" spans="1:15">
      <c r="A15" s="4" t="s">
        <v>33</v>
      </c>
      <c r="B15" s="9" t="s">
        <v>34</v>
      </c>
      <c r="C15" s="9" t="s">
        <v>8</v>
      </c>
      <c r="D15" s="9" t="s">
        <v>588</v>
      </c>
      <c r="E15" s="9">
        <v>1</v>
      </c>
      <c r="F15" s="9">
        <v>5</v>
      </c>
      <c r="G15" s="10">
        <v>1005028.7699999999</v>
      </c>
      <c r="H15" s="11"/>
      <c r="I15" s="11" t="s">
        <v>578</v>
      </c>
      <c r="J15" s="11" t="s">
        <v>579</v>
      </c>
      <c r="K15" s="11" t="s">
        <v>579</v>
      </c>
      <c r="L15" s="12">
        <v>750</v>
      </c>
      <c r="M15" s="12"/>
      <c r="N15" t="str">
        <f>IFERROR(VLOOKUP(A15,[1]Worksheet!A:B,2,FALSE),"")</f>
        <v>R$ 750,00</v>
      </c>
      <c r="O15" s="23"/>
    </row>
    <row r="16" spans="1:15">
      <c r="A16" s="16" t="s">
        <v>35</v>
      </c>
      <c r="B16" s="17" t="s">
        <v>36</v>
      </c>
      <c r="C16" s="17" t="s">
        <v>8</v>
      </c>
      <c r="D16" s="17" t="s">
        <v>593</v>
      </c>
      <c r="E16" s="17">
        <v>13</v>
      </c>
      <c r="F16" s="17">
        <v>3</v>
      </c>
      <c r="G16" s="18">
        <v>45312714.409999996</v>
      </c>
      <c r="H16" s="19"/>
      <c r="I16" s="19" t="s">
        <v>578</v>
      </c>
      <c r="J16" s="19" t="s">
        <v>583</v>
      </c>
      <c r="K16" s="19" t="s">
        <v>581</v>
      </c>
      <c r="L16" s="22">
        <v>10894</v>
      </c>
      <c r="M16" s="22">
        <v>25800</v>
      </c>
      <c r="O16" s="23">
        <v>1147</v>
      </c>
    </row>
    <row r="17" spans="1:15">
      <c r="A17" s="4" t="s">
        <v>37</v>
      </c>
      <c r="B17" s="9" t="s">
        <v>38</v>
      </c>
      <c r="C17" s="9" t="s">
        <v>8</v>
      </c>
      <c r="D17" s="9" t="s">
        <v>593</v>
      </c>
      <c r="E17" s="9">
        <v>12</v>
      </c>
      <c r="F17" s="9">
        <v>3</v>
      </c>
      <c r="G17" s="10">
        <v>53992964.979999997</v>
      </c>
      <c r="H17" s="11"/>
      <c r="I17" s="11" t="s">
        <v>578</v>
      </c>
      <c r="J17" s="11" t="s">
        <v>583</v>
      </c>
      <c r="K17" s="11" t="s">
        <v>581</v>
      </c>
      <c r="L17" s="12">
        <v>838</v>
      </c>
      <c r="M17" s="12"/>
      <c r="O17" s="23">
        <v>655</v>
      </c>
    </row>
    <row r="18" spans="1:15">
      <c r="A18" s="4" t="s">
        <v>39</v>
      </c>
      <c r="B18" s="9" t="s">
        <v>40</v>
      </c>
      <c r="C18" s="9" t="s">
        <v>8</v>
      </c>
      <c r="D18" s="9" t="s">
        <v>588</v>
      </c>
      <c r="E18" s="9">
        <v>1</v>
      </c>
      <c r="F18" s="9">
        <v>3</v>
      </c>
      <c r="G18" s="10">
        <v>14000</v>
      </c>
      <c r="H18" s="11"/>
      <c r="I18" s="11" t="s">
        <v>578</v>
      </c>
      <c r="J18" s="11" t="s">
        <v>579</v>
      </c>
      <c r="K18" s="11" t="s">
        <v>579</v>
      </c>
      <c r="L18" s="12">
        <v>1064</v>
      </c>
      <c r="M18" s="12"/>
      <c r="N18" t="str">
        <f>IFERROR(VLOOKUP(A18,[1]Worksheet!A:B,2,FALSE),"")</f>
        <v>R$ 1.064,00</v>
      </c>
      <c r="O18" s="23"/>
    </row>
    <row r="19" spans="1:15">
      <c r="A19" s="4" t="s">
        <v>41</v>
      </c>
      <c r="B19" s="9" t="s">
        <v>42</v>
      </c>
      <c r="C19" s="9" t="s">
        <v>8</v>
      </c>
      <c r="D19" s="9" t="s">
        <v>590</v>
      </c>
      <c r="E19" s="9">
        <v>1</v>
      </c>
      <c r="F19" s="9">
        <v>3</v>
      </c>
      <c r="G19" s="10">
        <v>1753200.9999999998</v>
      </c>
      <c r="H19" s="11"/>
      <c r="I19" s="11" t="s">
        <v>578</v>
      </c>
      <c r="J19" s="11" t="s">
        <v>579</v>
      </c>
      <c r="K19" s="11" t="s">
        <v>579</v>
      </c>
      <c r="L19" s="12">
        <v>1079</v>
      </c>
      <c r="M19" s="12"/>
      <c r="N19" t="str">
        <f>IFERROR(VLOOKUP(A19,[1]Worksheet!A:B,2,FALSE),"")</f>
        <v>R$ 1.079,00</v>
      </c>
      <c r="O19" s="23"/>
    </row>
    <row r="20" spans="1:15">
      <c r="A20" s="16" t="s">
        <v>43</v>
      </c>
      <c r="B20" s="17" t="s">
        <v>44</v>
      </c>
      <c r="C20" s="17" t="s">
        <v>8</v>
      </c>
      <c r="D20" s="17" t="s">
        <v>590</v>
      </c>
      <c r="E20" s="17">
        <v>1</v>
      </c>
      <c r="F20" s="17">
        <v>3</v>
      </c>
      <c r="G20" s="18">
        <v>1047140.75</v>
      </c>
      <c r="H20" s="19"/>
      <c r="I20" s="19" t="s">
        <v>578</v>
      </c>
      <c r="J20" s="19" t="s">
        <v>579</v>
      </c>
      <c r="K20" s="19" t="s">
        <v>579</v>
      </c>
      <c r="L20" s="22">
        <v>1707</v>
      </c>
      <c r="M20" s="22">
        <v>840</v>
      </c>
      <c r="N20" t="str">
        <f>IFERROR(VLOOKUP(A20,[1]Worksheet!A:B,2,FALSE),"")</f>
        <v>R$ 1.707,00</v>
      </c>
      <c r="O20" s="23"/>
    </row>
    <row r="21" spans="1:15">
      <c r="A21" s="4" t="s">
        <v>45</v>
      </c>
      <c r="B21" s="9" t="s">
        <v>46</v>
      </c>
      <c r="C21" s="9" t="s">
        <v>8</v>
      </c>
      <c r="D21" s="9" t="s">
        <v>590</v>
      </c>
      <c r="E21" s="9">
        <v>1</v>
      </c>
      <c r="F21" s="9">
        <v>9</v>
      </c>
      <c r="G21" s="10">
        <v>3159459.76</v>
      </c>
      <c r="H21" s="11">
        <v>26</v>
      </c>
      <c r="I21" s="11" t="s">
        <v>578</v>
      </c>
      <c r="J21" s="11" t="s">
        <v>579</v>
      </c>
      <c r="K21" s="11" t="s">
        <v>581</v>
      </c>
      <c r="L21" s="12">
        <v>3290</v>
      </c>
      <c r="M21" s="12"/>
      <c r="N21" t="str">
        <f>IFERROR(VLOOKUP(A21,[1]Worksheet!A:B,2,FALSE),"")</f>
        <v>R$ 3.290,00</v>
      </c>
      <c r="O21" s="23"/>
    </row>
    <row r="22" spans="1:15">
      <c r="A22" s="16" t="s">
        <v>47</v>
      </c>
      <c r="B22" s="17" t="s">
        <v>48</v>
      </c>
      <c r="C22" s="17" t="s">
        <v>8</v>
      </c>
      <c r="D22" s="17" t="s">
        <v>590</v>
      </c>
      <c r="E22" s="17">
        <v>1</v>
      </c>
      <c r="F22" s="17">
        <v>4</v>
      </c>
      <c r="G22" s="18">
        <v>13132327.73</v>
      </c>
      <c r="H22" s="19">
        <v>12</v>
      </c>
      <c r="I22" s="19" t="s">
        <v>582</v>
      </c>
      <c r="J22" s="19" t="s">
        <v>581</v>
      </c>
      <c r="K22" s="19" t="s">
        <v>581</v>
      </c>
      <c r="L22" s="22">
        <v>2703</v>
      </c>
      <c r="M22" s="22">
        <v>15310</v>
      </c>
      <c r="N22" t="str">
        <f>IFERROR(VLOOKUP(A22,[1]Worksheet!A:B,2,FALSE),"")</f>
        <v>R$ 2.703,00</v>
      </c>
      <c r="O22" s="23"/>
    </row>
    <row r="23" spans="1:15">
      <c r="A23" s="4" t="s">
        <v>49</v>
      </c>
      <c r="B23" s="9" t="s">
        <v>50</v>
      </c>
      <c r="C23" s="9" t="s">
        <v>8</v>
      </c>
      <c r="D23" s="9" t="s">
        <v>588</v>
      </c>
      <c r="E23" s="9">
        <v>1</v>
      </c>
      <c r="F23" s="9">
        <v>3</v>
      </c>
      <c r="G23" s="10">
        <v>258219.99000000002</v>
      </c>
      <c r="H23" s="11"/>
      <c r="I23" s="11" t="s">
        <v>578</v>
      </c>
      <c r="J23" s="11" t="s">
        <v>579</v>
      </c>
      <c r="K23" s="11" t="s">
        <v>579</v>
      </c>
      <c r="L23" s="12">
        <v>1147</v>
      </c>
      <c r="M23" s="12"/>
      <c r="N23" t="str">
        <f>IFERROR(VLOOKUP(A23,[1]Worksheet!A:B,2,FALSE),"")</f>
        <v>R$ 1.147,00</v>
      </c>
      <c r="O23" s="23"/>
    </row>
    <row r="24" spans="1:15">
      <c r="A24" s="4" t="s">
        <v>51</v>
      </c>
      <c r="B24" s="9" t="s">
        <v>52</v>
      </c>
      <c r="C24" s="9" t="s">
        <v>8</v>
      </c>
      <c r="D24" s="9" t="s">
        <v>588</v>
      </c>
      <c r="E24" s="9">
        <v>1</v>
      </c>
      <c r="F24" s="9">
        <v>1</v>
      </c>
      <c r="G24" s="10"/>
      <c r="H24" s="11"/>
      <c r="I24" s="11" t="s">
        <v>578</v>
      </c>
      <c r="J24" s="11" t="s">
        <v>579</v>
      </c>
      <c r="K24" s="11" t="s">
        <v>579</v>
      </c>
      <c r="L24" s="12">
        <v>655</v>
      </c>
      <c r="M24" s="12"/>
      <c r="N24" t="str">
        <f>IFERROR(VLOOKUP(A24,[1]Worksheet!A:B,2,FALSE),"")</f>
        <v>R$ 655,00</v>
      </c>
      <c r="O24" s="23"/>
    </row>
    <row r="25" spans="1:15">
      <c r="A25" s="4" t="s">
        <v>53</v>
      </c>
      <c r="B25" s="9" t="s">
        <v>54</v>
      </c>
      <c r="C25" s="9" t="s">
        <v>8</v>
      </c>
      <c r="D25" s="9" t="s">
        <v>588</v>
      </c>
      <c r="E25" s="9">
        <v>1</v>
      </c>
      <c r="F25" s="9">
        <v>2</v>
      </c>
      <c r="G25" s="10">
        <v>16500</v>
      </c>
      <c r="H25" s="11"/>
      <c r="I25" s="11" t="s">
        <v>578</v>
      </c>
      <c r="J25" s="11" t="s">
        <v>579</v>
      </c>
      <c r="K25" s="11" t="s">
        <v>579</v>
      </c>
      <c r="L25" s="12">
        <v>614</v>
      </c>
      <c r="M25" s="12"/>
      <c r="N25" t="str">
        <f>IFERROR(VLOOKUP(A25,[1]Worksheet!A:B,2,FALSE),"")</f>
        <v>R$ 614,00</v>
      </c>
      <c r="O25" s="23"/>
    </row>
    <row r="26" spans="1:15">
      <c r="A26" s="4" t="s">
        <v>55</v>
      </c>
      <c r="B26" s="9" t="s">
        <v>56</v>
      </c>
      <c r="C26" s="9" t="s">
        <v>8</v>
      </c>
      <c r="D26" s="9"/>
      <c r="E26" s="9">
        <v>1</v>
      </c>
      <c r="F26" s="9">
        <v>0</v>
      </c>
      <c r="G26" s="10"/>
      <c r="H26" s="11">
        <v>4</v>
      </c>
      <c r="I26" s="11" t="s">
        <v>582</v>
      </c>
      <c r="J26" s="11" t="s">
        <v>579</v>
      </c>
      <c r="K26" s="11" t="s">
        <v>579</v>
      </c>
      <c r="L26" s="12">
        <v>1896</v>
      </c>
      <c r="M26" s="12"/>
      <c r="O26" s="23">
        <v>918</v>
      </c>
    </row>
    <row r="27" spans="1:15">
      <c r="A27" s="4" t="s">
        <v>57</v>
      </c>
      <c r="B27" s="9" t="s">
        <v>58</v>
      </c>
      <c r="C27" s="9" t="s">
        <v>8</v>
      </c>
      <c r="D27" s="9" t="s">
        <v>590</v>
      </c>
      <c r="E27" s="9">
        <v>1</v>
      </c>
      <c r="F27" s="9">
        <v>5</v>
      </c>
      <c r="G27" s="10">
        <v>706398.80999999994</v>
      </c>
      <c r="H27" s="11"/>
      <c r="I27" s="11" t="s">
        <v>578</v>
      </c>
      <c r="J27" s="11" t="s">
        <v>579</v>
      </c>
      <c r="K27" s="11" t="s">
        <v>579</v>
      </c>
      <c r="L27" s="12">
        <v>1552</v>
      </c>
      <c r="M27" s="12"/>
      <c r="N27" t="str">
        <f>IFERROR(VLOOKUP(A27,[1]Worksheet!A:B,2,FALSE),"")</f>
        <v>R$ 1.552,00</v>
      </c>
      <c r="O27" s="23"/>
    </row>
    <row r="28" spans="1:15">
      <c r="A28" s="16" t="s">
        <v>59</v>
      </c>
      <c r="B28" s="17" t="s">
        <v>60</v>
      </c>
      <c r="C28" s="17" t="s">
        <v>8</v>
      </c>
      <c r="D28" s="17" t="s">
        <v>590</v>
      </c>
      <c r="E28" s="17">
        <v>1</v>
      </c>
      <c r="F28" s="17">
        <v>3</v>
      </c>
      <c r="G28" s="18">
        <v>1535556.54</v>
      </c>
      <c r="H28" s="19">
        <v>4</v>
      </c>
      <c r="I28" s="19" t="s">
        <v>578</v>
      </c>
      <c r="J28" s="19" t="s">
        <v>579</v>
      </c>
      <c r="K28" s="19" t="s">
        <v>579</v>
      </c>
      <c r="L28" s="22">
        <v>1801</v>
      </c>
      <c r="M28" s="22">
        <v>1750</v>
      </c>
      <c r="N28" t="str">
        <f>IFERROR(VLOOKUP(A28,[1]Worksheet!A:B,2,FALSE),"")</f>
        <v>R$ 1.801,00</v>
      </c>
      <c r="O28" s="23"/>
    </row>
    <row r="29" spans="1:15">
      <c r="A29" s="4" t="s">
        <v>61</v>
      </c>
      <c r="B29" s="9" t="s">
        <v>62</v>
      </c>
      <c r="C29" s="9" t="s">
        <v>8</v>
      </c>
      <c r="D29" s="9" t="s">
        <v>590</v>
      </c>
      <c r="E29" s="9">
        <v>1</v>
      </c>
      <c r="F29" s="9">
        <v>5</v>
      </c>
      <c r="G29" s="10">
        <v>973361.07</v>
      </c>
      <c r="H29" s="11"/>
      <c r="I29" s="11" t="s">
        <v>578</v>
      </c>
      <c r="J29" s="11" t="s">
        <v>579</v>
      </c>
      <c r="K29" s="11" t="s">
        <v>579</v>
      </c>
      <c r="L29" s="12">
        <v>2542</v>
      </c>
      <c r="M29" s="12"/>
      <c r="N29" t="str">
        <f>IFERROR(VLOOKUP(A29,[1]Worksheet!A:B,2,FALSE),"")</f>
        <v>R$ 2.542,00</v>
      </c>
      <c r="O29" s="23"/>
    </row>
    <row r="30" spans="1:15">
      <c r="A30" s="16" t="s">
        <v>63</v>
      </c>
      <c r="B30" s="17" t="s">
        <v>64</v>
      </c>
      <c r="C30" s="17" t="s">
        <v>8</v>
      </c>
      <c r="D30" s="17" t="s">
        <v>590</v>
      </c>
      <c r="E30" s="17">
        <v>1</v>
      </c>
      <c r="F30" s="17">
        <v>6</v>
      </c>
      <c r="G30" s="18">
        <v>20298909.499999996</v>
      </c>
      <c r="H30" s="19">
        <v>17</v>
      </c>
      <c r="I30" s="19" t="s">
        <v>578</v>
      </c>
      <c r="J30" s="19" t="s">
        <v>581</v>
      </c>
      <c r="K30" s="19" t="s">
        <v>581</v>
      </c>
      <c r="L30" s="22">
        <v>4027</v>
      </c>
      <c r="M30" s="22">
        <v>19340</v>
      </c>
      <c r="N30" t="str">
        <f>IFERROR(VLOOKUP(A30,[1]Worksheet!A:B,2,FALSE),"")</f>
        <v>R$ 4.027,00</v>
      </c>
      <c r="O30" s="23"/>
    </row>
    <row r="31" spans="1:15">
      <c r="A31" s="16" t="s">
        <v>65</v>
      </c>
      <c r="B31" s="17" t="s">
        <v>66</v>
      </c>
      <c r="C31" s="17" t="s">
        <v>8</v>
      </c>
      <c r="D31" s="17" t="s">
        <v>590</v>
      </c>
      <c r="E31" s="17">
        <v>2</v>
      </c>
      <c r="F31" s="17">
        <v>3</v>
      </c>
      <c r="G31" s="18">
        <v>2132832.9500000002</v>
      </c>
      <c r="H31" s="19">
        <v>3</v>
      </c>
      <c r="I31" s="19" t="s">
        <v>578</v>
      </c>
      <c r="J31" s="19" t="s">
        <v>579</v>
      </c>
      <c r="K31" s="19" t="s">
        <v>579</v>
      </c>
      <c r="L31" s="22">
        <v>1920</v>
      </c>
      <c r="M31" s="22">
        <v>2100</v>
      </c>
      <c r="N31" t="str">
        <f>IFERROR(VLOOKUP(A31,[1]Worksheet!A:B,2,FALSE),"")</f>
        <v>R$ 1.920,00</v>
      </c>
      <c r="O31" s="23"/>
    </row>
    <row r="32" spans="1:15">
      <c r="A32" s="16" t="s">
        <v>67</v>
      </c>
      <c r="B32" s="17" t="s">
        <v>68</v>
      </c>
      <c r="C32" s="17" t="s">
        <v>8</v>
      </c>
      <c r="D32" s="17" t="s">
        <v>590</v>
      </c>
      <c r="E32" s="17">
        <v>1</v>
      </c>
      <c r="F32" s="17">
        <v>2</v>
      </c>
      <c r="G32" s="18">
        <v>306058.03999999998</v>
      </c>
      <c r="H32" s="19"/>
      <c r="I32" s="19" t="s">
        <v>578</v>
      </c>
      <c r="J32" s="19" t="s">
        <v>579</v>
      </c>
      <c r="K32" s="19" t="s">
        <v>579</v>
      </c>
      <c r="L32" s="22">
        <v>1079</v>
      </c>
      <c r="M32" s="22">
        <v>480</v>
      </c>
      <c r="N32" t="str">
        <f>IFERROR(VLOOKUP(A32,[1]Worksheet!A:B,2,FALSE),"")</f>
        <v>R$ 1.079,00</v>
      </c>
      <c r="O32" s="23"/>
    </row>
    <row r="33" spans="1:15">
      <c r="A33" s="16" t="s">
        <v>69</v>
      </c>
      <c r="B33" s="17" t="s">
        <v>70</v>
      </c>
      <c r="C33" s="17" t="s">
        <v>8</v>
      </c>
      <c r="D33" s="17" t="s">
        <v>590</v>
      </c>
      <c r="E33" s="17">
        <v>1</v>
      </c>
      <c r="F33" s="17">
        <v>2</v>
      </c>
      <c r="G33" s="18">
        <v>353722.42</v>
      </c>
      <c r="H33" s="19"/>
      <c r="I33" s="19" t="s">
        <v>578</v>
      </c>
      <c r="J33" s="19" t="s">
        <v>579</v>
      </c>
      <c r="K33" s="19" t="s">
        <v>579</v>
      </c>
      <c r="L33" s="22">
        <v>1079</v>
      </c>
      <c r="M33" s="22">
        <v>480</v>
      </c>
      <c r="N33" t="str">
        <f>IFERROR(VLOOKUP(A33,[1]Worksheet!A:B,2,FALSE),"")</f>
        <v>R$ 1.079,00</v>
      </c>
      <c r="O33" s="23"/>
    </row>
    <row r="34" spans="1:15">
      <c r="A34" s="4" t="s">
        <v>71</v>
      </c>
      <c r="B34" s="9" t="s">
        <v>72</v>
      </c>
      <c r="C34" s="9" t="s">
        <v>8</v>
      </c>
      <c r="D34" s="9" t="s">
        <v>590</v>
      </c>
      <c r="E34" s="9">
        <v>1</v>
      </c>
      <c r="F34" s="9">
        <v>2</v>
      </c>
      <c r="G34" s="10">
        <v>1103317.1300000001</v>
      </c>
      <c r="H34" s="11">
        <v>2</v>
      </c>
      <c r="I34" s="11" t="s">
        <v>578</v>
      </c>
      <c r="J34" s="11" t="s">
        <v>579</v>
      </c>
      <c r="K34" s="11" t="s">
        <v>579</v>
      </c>
      <c r="L34" s="12">
        <v>918</v>
      </c>
      <c r="M34" s="12"/>
      <c r="N34" t="str">
        <f>IFERROR(VLOOKUP(A34,[1]Worksheet!A:B,2,FALSE),"")</f>
        <v>R$ 918,00</v>
      </c>
      <c r="O34" s="23"/>
    </row>
    <row r="35" spans="1:15">
      <c r="A35" s="16" t="s">
        <v>73</v>
      </c>
      <c r="B35" s="17" t="s">
        <v>74</v>
      </c>
      <c r="C35" s="17" t="s">
        <v>8</v>
      </c>
      <c r="D35" s="17" t="s">
        <v>590</v>
      </c>
      <c r="E35" s="17">
        <v>1</v>
      </c>
      <c r="F35" s="17">
        <v>5</v>
      </c>
      <c r="G35" s="18">
        <v>7876418.0800000001</v>
      </c>
      <c r="H35" s="19">
        <v>6</v>
      </c>
      <c r="I35" s="19" t="s">
        <v>582</v>
      </c>
      <c r="J35" s="19" t="s">
        <v>579</v>
      </c>
      <c r="K35" s="19" t="s">
        <v>579</v>
      </c>
      <c r="L35" s="22">
        <v>2519</v>
      </c>
      <c r="M35" s="22">
        <v>7640</v>
      </c>
      <c r="N35" t="str">
        <f>IFERROR(VLOOKUP(A35,[1]Worksheet!A:B,2,FALSE),"")</f>
        <v>R$ 2.519,00</v>
      </c>
      <c r="O35" s="23"/>
    </row>
    <row r="36" spans="1:15">
      <c r="A36" s="16" t="s">
        <v>75</v>
      </c>
      <c r="B36" s="17" t="s">
        <v>76</v>
      </c>
      <c r="C36" s="17" t="s">
        <v>8</v>
      </c>
      <c r="D36" s="17" t="s">
        <v>590</v>
      </c>
      <c r="E36" s="17">
        <v>1</v>
      </c>
      <c r="F36" s="17">
        <v>2</v>
      </c>
      <c r="G36" s="18">
        <v>1250984.6400000001</v>
      </c>
      <c r="H36" s="19">
        <v>1</v>
      </c>
      <c r="I36" s="19" t="s">
        <v>578</v>
      </c>
      <c r="J36" s="19" t="s">
        <v>579</v>
      </c>
      <c r="K36" s="19" t="s">
        <v>579</v>
      </c>
      <c r="L36" s="22">
        <v>1594</v>
      </c>
      <c r="M36" s="22">
        <v>1130</v>
      </c>
      <c r="N36" t="str">
        <f>IFERROR(VLOOKUP(A36,[1]Worksheet!A:B,2,FALSE),"")</f>
        <v>R$ 1.594,00</v>
      </c>
      <c r="O36" s="23"/>
    </row>
    <row r="37" spans="1:15">
      <c r="A37" s="16" t="s">
        <v>77</v>
      </c>
      <c r="B37" s="17" t="s">
        <v>78</v>
      </c>
      <c r="C37" s="17" t="s">
        <v>8</v>
      </c>
      <c r="D37" s="17" t="s">
        <v>593</v>
      </c>
      <c r="E37" s="17">
        <v>1</v>
      </c>
      <c r="F37" s="17">
        <v>3</v>
      </c>
      <c r="G37" s="18">
        <v>12159464.990000002</v>
      </c>
      <c r="H37" s="19"/>
      <c r="I37" s="19" t="s">
        <v>578</v>
      </c>
      <c r="J37" s="19" t="s">
        <v>579</v>
      </c>
      <c r="K37" s="19" t="s">
        <v>581</v>
      </c>
      <c r="L37" s="22">
        <v>1066</v>
      </c>
      <c r="M37" s="22">
        <v>11590</v>
      </c>
      <c r="N37" s="20" t="s">
        <v>587</v>
      </c>
      <c r="O37" s="23">
        <v>767</v>
      </c>
    </row>
    <row r="38" spans="1:15">
      <c r="A38" s="4" t="s">
        <v>79</v>
      </c>
      <c r="B38" s="9" t="s">
        <v>80</v>
      </c>
      <c r="C38" s="9" t="s">
        <v>8</v>
      </c>
      <c r="D38" s="9" t="s">
        <v>588</v>
      </c>
      <c r="E38" s="9">
        <v>1</v>
      </c>
      <c r="F38" s="9">
        <v>1</v>
      </c>
      <c r="G38" s="10">
        <v>2232701.92</v>
      </c>
      <c r="H38" s="11">
        <v>28</v>
      </c>
      <c r="I38" s="11" t="s">
        <v>578</v>
      </c>
      <c r="J38" s="11" t="s">
        <v>579</v>
      </c>
      <c r="K38" s="11" t="s">
        <v>579</v>
      </c>
      <c r="L38" s="12">
        <v>3196</v>
      </c>
      <c r="M38" s="12"/>
      <c r="N38" t="str">
        <f>IFERROR(VLOOKUP(A38,[1]Worksheet!A:B,2,FALSE),"")</f>
        <v>R$ 3.196,00</v>
      </c>
      <c r="O38" s="23"/>
    </row>
    <row r="39" spans="1:15">
      <c r="A39" s="4" t="s">
        <v>81</v>
      </c>
      <c r="B39" s="9" t="s">
        <v>82</v>
      </c>
      <c r="C39" s="9" t="s">
        <v>8</v>
      </c>
      <c r="D39" s="9" t="s">
        <v>588</v>
      </c>
      <c r="E39" s="9">
        <v>1</v>
      </c>
      <c r="F39" s="9">
        <v>1</v>
      </c>
      <c r="G39" s="10"/>
      <c r="H39" s="11"/>
      <c r="I39" s="11" t="s">
        <v>578</v>
      </c>
      <c r="J39" s="11" t="s">
        <v>579</v>
      </c>
      <c r="K39" s="11" t="s">
        <v>579</v>
      </c>
      <c r="L39" s="12">
        <v>649</v>
      </c>
      <c r="M39" s="12"/>
      <c r="N39" t="str">
        <f>IFERROR(VLOOKUP(A39,[1]Worksheet!A:B,2,FALSE),"")</f>
        <v>R$ 649,00</v>
      </c>
      <c r="O39" s="23"/>
    </row>
    <row r="40" spans="1:15">
      <c r="A40" s="4" t="s">
        <v>83</v>
      </c>
      <c r="B40" s="9" t="s">
        <v>84</v>
      </c>
      <c r="C40" s="9" t="s">
        <v>8</v>
      </c>
      <c r="D40" s="9"/>
      <c r="E40" s="9">
        <v>1</v>
      </c>
      <c r="F40" s="9">
        <v>30</v>
      </c>
      <c r="G40" s="10">
        <v>2394449.0200000005</v>
      </c>
      <c r="H40" s="11">
        <v>1</v>
      </c>
      <c r="I40" s="11" t="s">
        <v>578</v>
      </c>
      <c r="J40" s="11" t="s">
        <v>579</v>
      </c>
      <c r="K40" s="11" t="s">
        <v>579</v>
      </c>
      <c r="L40" s="12">
        <v>1605</v>
      </c>
      <c r="M40" s="12"/>
      <c r="O40" s="23">
        <v>244</v>
      </c>
    </row>
    <row r="41" spans="1:15">
      <c r="A41" s="4" t="s">
        <v>85</v>
      </c>
      <c r="B41" s="9" t="s">
        <v>86</v>
      </c>
      <c r="C41" s="9" t="s">
        <v>8</v>
      </c>
      <c r="D41" s="9" t="s">
        <v>590</v>
      </c>
      <c r="E41" s="9">
        <v>1</v>
      </c>
      <c r="F41" s="9">
        <v>1</v>
      </c>
      <c r="G41" s="10">
        <v>917176.49000000022</v>
      </c>
      <c r="H41" s="11"/>
      <c r="I41" s="11" t="s">
        <v>578</v>
      </c>
      <c r="J41" s="11" t="s">
        <v>579</v>
      </c>
      <c r="K41" s="11" t="s">
        <v>579</v>
      </c>
      <c r="L41" s="12">
        <v>639</v>
      </c>
      <c r="M41" s="12"/>
      <c r="N41" t="str">
        <f>IFERROR(VLOOKUP(A41,[1]Worksheet!A:B,2,FALSE),"")</f>
        <v>R$ 639,00</v>
      </c>
      <c r="O41" s="23"/>
    </row>
    <row r="42" spans="1:15">
      <c r="A42" s="4" t="s">
        <v>87</v>
      </c>
      <c r="B42" s="9" t="s">
        <v>88</v>
      </c>
      <c r="C42" s="9" t="s">
        <v>8</v>
      </c>
      <c r="D42" s="9" t="s">
        <v>588</v>
      </c>
      <c r="E42" s="9">
        <v>1</v>
      </c>
      <c r="F42" s="9">
        <v>2</v>
      </c>
      <c r="G42" s="10"/>
      <c r="H42" s="11"/>
      <c r="I42" s="11" t="s">
        <v>578</v>
      </c>
      <c r="J42" s="11" t="s">
        <v>579</v>
      </c>
      <c r="K42" s="11" t="s">
        <v>579</v>
      </c>
      <c r="L42" s="12">
        <v>797</v>
      </c>
      <c r="M42" s="12"/>
      <c r="N42" t="str">
        <f>IFERROR(VLOOKUP(A42,[1]Worksheet!A:B,2,FALSE),"")</f>
        <v>R$ 797,00</v>
      </c>
      <c r="O42" s="23"/>
    </row>
    <row r="43" spans="1:15">
      <c r="A43" s="4" t="s">
        <v>89</v>
      </c>
      <c r="B43" s="9" t="s">
        <v>90</v>
      </c>
      <c r="C43" s="9" t="s">
        <v>8</v>
      </c>
      <c r="D43" s="9"/>
      <c r="E43" s="9">
        <v>1</v>
      </c>
      <c r="F43" s="9">
        <v>3</v>
      </c>
      <c r="G43" s="10">
        <v>490206.71999999991</v>
      </c>
      <c r="H43" s="11"/>
      <c r="I43" s="11" t="s">
        <v>578</v>
      </c>
      <c r="J43" s="11" t="s">
        <v>579</v>
      </c>
      <c r="K43" s="11" t="s">
        <v>579</v>
      </c>
      <c r="L43" s="12"/>
      <c r="M43" s="12"/>
      <c r="O43" s="23">
        <v>800</v>
      </c>
    </row>
    <row r="44" spans="1:15">
      <c r="A44" s="4" t="s">
        <v>91</v>
      </c>
      <c r="B44" s="9" t="s">
        <v>92</v>
      </c>
      <c r="C44" s="9" t="s">
        <v>8</v>
      </c>
      <c r="D44" s="9" t="s">
        <v>593</v>
      </c>
      <c r="E44" s="9">
        <v>1</v>
      </c>
      <c r="F44" s="9">
        <v>1</v>
      </c>
      <c r="G44" s="10">
        <v>10541685.84</v>
      </c>
      <c r="H44" s="11"/>
      <c r="I44" s="11" t="s">
        <v>582</v>
      </c>
      <c r="J44" s="11" t="s">
        <v>579</v>
      </c>
      <c r="K44" s="11" t="s">
        <v>579</v>
      </c>
      <c r="L44" s="12"/>
      <c r="M44" s="12">
        <v>8170</v>
      </c>
      <c r="O44" s="23">
        <v>0</v>
      </c>
    </row>
    <row r="45" spans="1:15">
      <c r="A45" s="4" t="s">
        <v>93</v>
      </c>
      <c r="B45" s="9" t="s">
        <v>94</v>
      </c>
      <c r="C45" s="9" t="s">
        <v>8</v>
      </c>
      <c r="D45" s="9" t="s">
        <v>588</v>
      </c>
      <c r="E45" s="9">
        <v>1</v>
      </c>
      <c r="F45" s="9">
        <v>1</v>
      </c>
      <c r="G45" s="10"/>
      <c r="H45" s="11"/>
      <c r="I45" s="11" t="s">
        <v>578</v>
      </c>
      <c r="J45" s="11" t="s">
        <v>579</v>
      </c>
      <c r="K45" s="11" t="s">
        <v>579</v>
      </c>
      <c r="L45" s="12">
        <v>160</v>
      </c>
      <c r="M45" s="12"/>
      <c r="N45" t="str">
        <f>IFERROR(VLOOKUP(A45,[1]Worksheet!A:B,2,FALSE),"")</f>
        <v>R$ 160,00</v>
      </c>
      <c r="O45" s="23"/>
    </row>
    <row r="46" spans="1:15">
      <c r="A46" s="16" t="s">
        <v>95</v>
      </c>
      <c r="B46" s="17" t="s">
        <v>96</v>
      </c>
      <c r="C46" s="17" t="s">
        <v>8</v>
      </c>
      <c r="D46" s="17" t="s">
        <v>588</v>
      </c>
      <c r="E46" s="17">
        <v>1</v>
      </c>
      <c r="F46" s="17">
        <v>2</v>
      </c>
      <c r="G46" s="18">
        <v>3162129.48</v>
      </c>
      <c r="H46" s="19">
        <v>11</v>
      </c>
      <c r="I46" s="19" t="s">
        <v>582</v>
      </c>
      <c r="J46" s="19" t="s">
        <v>579</v>
      </c>
      <c r="K46" s="19" t="s">
        <v>579</v>
      </c>
      <c r="L46" s="22">
        <v>3359</v>
      </c>
      <c r="M46" s="22">
        <v>4190</v>
      </c>
      <c r="N46" t="str">
        <f>IFERROR(VLOOKUP(A46,[1]Worksheet!A:B,2,FALSE),"")</f>
        <v>R$ 3.359,00</v>
      </c>
      <c r="O46" s="23"/>
    </row>
    <row r="47" spans="1:15">
      <c r="A47" s="4" t="s">
        <v>97</v>
      </c>
      <c r="B47" s="9" t="s">
        <v>98</v>
      </c>
      <c r="C47" s="9" t="s">
        <v>8</v>
      </c>
      <c r="D47" s="9" t="s">
        <v>590</v>
      </c>
      <c r="E47" s="9">
        <v>1</v>
      </c>
      <c r="F47" s="9">
        <v>5</v>
      </c>
      <c r="G47" s="10">
        <v>2785163.9</v>
      </c>
      <c r="H47" s="11"/>
      <c r="I47" s="11" t="s">
        <v>578</v>
      </c>
      <c r="J47" s="11" t="s">
        <v>579</v>
      </c>
      <c r="K47" s="11" t="s">
        <v>581</v>
      </c>
      <c r="L47" s="12">
        <v>1196</v>
      </c>
      <c r="M47" s="12"/>
      <c r="N47" t="str">
        <f>IFERROR(VLOOKUP(A47,[1]Worksheet!A:B,2,FALSE),"")</f>
        <v>R$ 1.196,00</v>
      </c>
      <c r="O47" s="23"/>
    </row>
    <row r="48" spans="1:15">
      <c r="A48" s="4" t="s">
        <v>99</v>
      </c>
      <c r="B48" s="9" t="s">
        <v>100</v>
      </c>
      <c r="C48" s="9" t="s">
        <v>8</v>
      </c>
      <c r="D48" s="9" t="s">
        <v>590</v>
      </c>
      <c r="E48" s="9">
        <v>1</v>
      </c>
      <c r="F48" s="9">
        <v>2</v>
      </c>
      <c r="G48" s="10">
        <v>108742.32</v>
      </c>
      <c r="H48" s="11"/>
      <c r="I48" s="11" t="s">
        <v>578</v>
      </c>
      <c r="J48" s="11" t="s">
        <v>579</v>
      </c>
      <c r="K48" s="11" t="s">
        <v>579</v>
      </c>
      <c r="L48" s="12">
        <v>192</v>
      </c>
      <c r="M48" s="12"/>
      <c r="N48" t="str">
        <f>IFERROR(VLOOKUP(A48,[1]Worksheet!A:B,2,FALSE),"")</f>
        <v>R$ 192,00</v>
      </c>
      <c r="O48" s="23"/>
    </row>
    <row r="49" spans="1:15">
      <c r="A49" s="16" t="s">
        <v>101</v>
      </c>
      <c r="B49" s="17" t="s">
        <v>102</v>
      </c>
      <c r="C49" s="17" t="s">
        <v>8</v>
      </c>
      <c r="D49" s="17" t="s">
        <v>591</v>
      </c>
      <c r="E49" s="17">
        <v>1</v>
      </c>
      <c r="F49" s="17">
        <v>3</v>
      </c>
      <c r="G49" s="18">
        <v>16725000</v>
      </c>
      <c r="H49" s="19">
        <v>2</v>
      </c>
      <c r="I49" s="19" t="s">
        <v>582</v>
      </c>
      <c r="J49" s="19" t="s">
        <v>579</v>
      </c>
      <c r="K49" s="19" t="s">
        <v>579</v>
      </c>
      <c r="L49" s="22">
        <v>3383</v>
      </c>
      <c r="M49" s="22">
        <v>13220</v>
      </c>
      <c r="O49" s="23">
        <v>1056</v>
      </c>
    </row>
    <row r="50" spans="1:15">
      <c r="A50" s="4" t="s">
        <v>103</v>
      </c>
      <c r="B50" s="9" t="s">
        <v>104</v>
      </c>
      <c r="C50" s="9" t="s">
        <v>8</v>
      </c>
      <c r="D50" s="9" t="s">
        <v>588</v>
      </c>
      <c r="E50" s="9">
        <v>1</v>
      </c>
      <c r="F50" s="9">
        <v>2</v>
      </c>
      <c r="G50" s="10"/>
      <c r="H50" s="11"/>
      <c r="I50" s="11" t="s">
        <v>578</v>
      </c>
      <c r="J50" s="11" t="s">
        <v>579</v>
      </c>
      <c r="K50" s="11" t="s">
        <v>579</v>
      </c>
      <c r="L50" s="12">
        <v>767</v>
      </c>
      <c r="M50" s="12"/>
      <c r="N50" t="str">
        <f>IFERROR(VLOOKUP(A50,[1]Worksheet!A:B,2,FALSE),"")</f>
        <v>R$ 767,00</v>
      </c>
      <c r="O50" s="23"/>
    </row>
    <row r="51" spans="1:15">
      <c r="A51" s="4" t="s">
        <v>105</v>
      </c>
      <c r="B51" s="9" t="s">
        <v>106</v>
      </c>
      <c r="C51" s="9" t="s">
        <v>8</v>
      </c>
      <c r="D51" s="9" t="s">
        <v>588</v>
      </c>
      <c r="E51" s="9">
        <v>1</v>
      </c>
      <c r="F51" s="9">
        <v>2</v>
      </c>
      <c r="G51" s="10"/>
      <c r="H51" s="11"/>
      <c r="I51" s="11" t="s">
        <v>578</v>
      </c>
      <c r="J51" s="11" t="s">
        <v>579</v>
      </c>
      <c r="K51" s="11" t="s">
        <v>579</v>
      </c>
      <c r="L51" s="12">
        <v>213</v>
      </c>
      <c r="M51" s="12"/>
      <c r="N51" t="str">
        <f>IFERROR(VLOOKUP(A51,[1]Worksheet!A:B,2,FALSE),"")</f>
        <v>R$ 213,00</v>
      </c>
      <c r="O51" s="23"/>
    </row>
    <row r="52" spans="1:15">
      <c r="A52" s="4" t="s">
        <v>107</v>
      </c>
      <c r="B52" s="9" t="s">
        <v>108</v>
      </c>
      <c r="C52" s="9" t="s">
        <v>8</v>
      </c>
      <c r="D52" s="9" t="s">
        <v>591</v>
      </c>
      <c r="E52" s="9">
        <v>1</v>
      </c>
      <c r="F52" s="9">
        <v>2</v>
      </c>
      <c r="G52" s="10"/>
      <c r="H52" s="11"/>
      <c r="I52" s="11" t="s">
        <v>578</v>
      </c>
      <c r="J52" s="11" t="s">
        <v>579</v>
      </c>
      <c r="K52" s="11" t="s">
        <v>579</v>
      </c>
      <c r="L52" s="12"/>
      <c r="M52" s="12"/>
      <c r="O52" s="23">
        <v>1220</v>
      </c>
    </row>
    <row r="53" spans="1:15">
      <c r="A53" s="16" t="s">
        <v>109</v>
      </c>
      <c r="B53" s="9" t="s">
        <v>110</v>
      </c>
      <c r="C53" s="17" t="s">
        <v>8</v>
      </c>
      <c r="D53" s="17" t="s">
        <v>590</v>
      </c>
      <c r="E53" s="17">
        <v>14</v>
      </c>
      <c r="F53" s="17">
        <v>2</v>
      </c>
      <c r="G53" s="18">
        <v>7658049.9399999995</v>
      </c>
      <c r="H53" s="19">
        <v>81</v>
      </c>
      <c r="I53" s="19" t="s">
        <v>578</v>
      </c>
      <c r="J53" s="19" t="s">
        <v>581</v>
      </c>
      <c r="K53" s="19" t="s">
        <v>581</v>
      </c>
      <c r="L53" s="22">
        <v>6284</v>
      </c>
      <c r="M53" s="22">
        <v>18220</v>
      </c>
      <c r="N53" t="str">
        <f>IFERROR(VLOOKUP(A53,[1]Worksheet!A:B,2,FALSE),"")</f>
        <v>R$ 6.284,00</v>
      </c>
      <c r="O53" s="23"/>
    </row>
    <row r="54" spans="1:15">
      <c r="A54" s="4" t="s">
        <v>111</v>
      </c>
      <c r="B54" s="9" t="s">
        <v>112</v>
      </c>
      <c r="C54" s="9" t="s">
        <v>8</v>
      </c>
      <c r="D54" s="9" t="s">
        <v>588</v>
      </c>
      <c r="E54" s="9">
        <v>1</v>
      </c>
      <c r="F54" s="9">
        <v>6</v>
      </c>
      <c r="G54" s="10"/>
      <c r="H54" s="11"/>
      <c r="I54" s="11" t="s">
        <v>578</v>
      </c>
      <c r="J54" s="11" t="s">
        <v>579</v>
      </c>
      <c r="K54" s="11" t="s">
        <v>579</v>
      </c>
      <c r="L54" s="12">
        <v>244</v>
      </c>
      <c r="M54" s="12"/>
      <c r="N54" t="str">
        <f>IFERROR(VLOOKUP(A54,[1]Worksheet!A:B,2,FALSE),"")</f>
        <v>R$ 244,00</v>
      </c>
      <c r="O54" s="23"/>
    </row>
    <row r="55" spans="1:15">
      <c r="A55" s="4" t="s">
        <v>113</v>
      </c>
      <c r="B55" s="9" t="s">
        <v>114</v>
      </c>
      <c r="C55" s="9" t="s">
        <v>8</v>
      </c>
      <c r="D55" s="9" t="s">
        <v>590</v>
      </c>
      <c r="E55" s="9">
        <v>1</v>
      </c>
      <c r="F55" s="9">
        <v>1</v>
      </c>
      <c r="G55" s="10">
        <v>314347.47000000003</v>
      </c>
      <c r="H55" s="11"/>
      <c r="I55" s="11" t="s">
        <v>578</v>
      </c>
      <c r="J55" s="11" t="s">
        <v>579</v>
      </c>
      <c r="K55" s="11" t="s">
        <v>579</v>
      </c>
      <c r="L55" s="12">
        <v>591</v>
      </c>
      <c r="M55" s="12"/>
      <c r="N55" t="str">
        <f>IFERROR(VLOOKUP(A55,[1]Worksheet!A:B,2,FALSE),"")</f>
        <v>R$ 591,00</v>
      </c>
      <c r="O55" s="23"/>
    </row>
    <row r="56" spans="1:15">
      <c r="A56" s="16" t="s">
        <v>115</v>
      </c>
      <c r="B56" s="17" t="s">
        <v>116</v>
      </c>
      <c r="C56" s="17" t="s">
        <v>8</v>
      </c>
      <c r="D56" s="17" t="s">
        <v>588</v>
      </c>
      <c r="E56" s="17">
        <v>1</v>
      </c>
      <c r="F56" s="17">
        <v>4</v>
      </c>
      <c r="G56" s="18">
        <v>3076976.2199999997</v>
      </c>
      <c r="H56" s="19"/>
      <c r="I56" s="19" t="s">
        <v>578</v>
      </c>
      <c r="J56" s="19" t="s">
        <v>579</v>
      </c>
      <c r="K56" s="19" t="s">
        <v>581</v>
      </c>
      <c r="L56" s="22">
        <v>1067</v>
      </c>
      <c r="M56" s="22">
        <v>2450</v>
      </c>
      <c r="N56" t="str">
        <f>IFERROR(VLOOKUP(A56,[1]Worksheet!A:B,2,FALSE),"")</f>
        <v>R$ 1.067,00</v>
      </c>
      <c r="O56" s="23"/>
    </row>
    <row r="57" spans="1:15">
      <c r="A57" s="4" t="s">
        <v>117</v>
      </c>
      <c r="B57" s="9" t="s">
        <v>118</v>
      </c>
      <c r="C57" s="9" t="s">
        <v>8</v>
      </c>
      <c r="D57" s="9" t="s">
        <v>590</v>
      </c>
      <c r="E57" s="9"/>
      <c r="F57" s="9">
        <v>2</v>
      </c>
      <c r="G57" s="10" t="s">
        <v>586</v>
      </c>
      <c r="H57" s="11">
        <v>1</v>
      </c>
      <c r="I57" s="11" t="s">
        <v>578</v>
      </c>
      <c r="J57" s="11" t="s">
        <v>579</v>
      </c>
      <c r="K57" s="11" t="s">
        <v>579</v>
      </c>
      <c r="L57" s="12">
        <v>800</v>
      </c>
      <c r="M57" s="12"/>
      <c r="N57" t="str">
        <f>IFERROR(VLOOKUP(A57,[1]Worksheet!A:B,2,FALSE),"")</f>
        <v>R$ 800,00</v>
      </c>
      <c r="O57" s="23"/>
    </row>
    <row r="58" spans="1:15">
      <c r="A58" s="4" t="s">
        <v>119</v>
      </c>
      <c r="B58" s="9" t="s">
        <v>120</v>
      </c>
      <c r="C58" s="9" t="s">
        <v>8</v>
      </c>
      <c r="D58" s="9" t="s">
        <v>588</v>
      </c>
      <c r="E58" s="9">
        <v>1</v>
      </c>
      <c r="F58" s="9">
        <v>1</v>
      </c>
      <c r="G58" s="10">
        <v>137355.34</v>
      </c>
      <c r="H58" s="11">
        <v>3</v>
      </c>
      <c r="I58" s="11" t="s">
        <v>578</v>
      </c>
      <c r="J58" s="11" t="s">
        <v>579</v>
      </c>
      <c r="K58" s="11" t="s">
        <v>579</v>
      </c>
      <c r="L58" s="12"/>
      <c r="M58" s="12">
        <v>680</v>
      </c>
      <c r="N58" t="str">
        <f>IFERROR(VLOOKUP(A58,[1]Worksheet!A:B,2,FALSE),"")</f>
        <v>R$ 0,00</v>
      </c>
      <c r="O58" s="23"/>
    </row>
    <row r="59" spans="1:15">
      <c r="A59" s="4" t="s">
        <v>121</v>
      </c>
      <c r="B59" s="9" t="s">
        <v>122</v>
      </c>
      <c r="C59" s="9" t="s">
        <v>8</v>
      </c>
      <c r="D59" s="9" t="s">
        <v>588</v>
      </c>
      <c r="E59" s="9">
        <v>1</v>
      </c>
      <c r="F59" s="9">
        <v>1</v>
      </c>
      <c r="G59" s="10">
        <v>660000</v>
      </c>
      <c r="H59" s="11"/>
      <c r="I59" s="11" t="s">
        <v>578</v>
      </c>
      <c r="J59" s="11" t="s">
        <v>579</v>
      </c>
      <c r="K59" s="11" t="s">
        <v>579</v>
      </c>
      <c r="L59" s="12">
        <v>601</v>
      </c>
      <c r="M59" s="12"/>
      <c r="N59" t="str">
        <f>IFERROR(VLOOKUP(A59,[1]Worksheet!A:B,2,FALSE),"")</f>
        <v>R$ 601,00</v>
      </c>
      <c r="O59" s="23"/>
    </row>
    <row r="60" spans="1:15">
      <c r="A60" s="4" t="s">
        <v>123</v>
      </c>
      <c r="B60" s="9" t="s">
        <v>124</v>
      </c>
      <c r="C60" s="9" t="s">
        <v>8</v>
      </c>
      <c r="D60" s="9" t="s">
        <v>593</v>
      </c>
      <c r="E60" s="9">
        <v>2</v>
      </c>
      <c r="F60" s="9">
        <v>3</v>
      </c>
      <c r="G60" s="10">
        <v>3465334.32</v>
      </c>
      <c r="H60" s="11"/>
      <c r="I60" s="11" t="s">
        <v>578</v>
      </c>
      <c r="J60" s="11" t="s">
        <v>581</v>
      </c>
      <c r="K60" s="11" t="s">
        <v>581</v>
      </c>
      <c r="L60" s="12">
        <v>838</v>
      </c>
      <c r="M60" s="12"/>
      <c r="O60" s="23">
        <v>2592</v>
      </c>
    </row>
    <row r="61" spans="1:15">
      <c r="A61" s="16" t="s">
        <v>125</v>
      </c>
      <c r="B61" s="17" t="s">
        <v>126</v>
      </c>
      <c r="C61" s="17" t="s">
        <v>8</v>
      </c>
      <c r="D61" s="17" t="s">
        <v>591</v>
      </c>
      <c r="E61" s="17">
        <v>1</v>
      </c>
      <c r="F61" s="17">
        <v>2</v>
      </c>
      <c r="G61" s="18">
        <v>904796</v>
      </c>
      <c r="H61" s="19">
        <v>5</v>
      </c>
      <c r="I61" s="19" t="s">
        <v>578</v>
      </c>
      <c r="J61" s="19" t="s">
        <v>579</v>
      </c>
      <c r="K61" s="19" t="s">
        <v>579</v>
      </c>
      <c r="L61" s="22">
        <v>1801</v>
      </c>
      <c r="M61" s="22">
        <v>1380</v>
      </c>
      <c r="O61" s="23">
        <v>1181</v>
      </c>
    </row>
    <row r="62" spans="1:15">
      <c r="A62" s="16" t="s">
        <v>127</v>
      </c>
      <c r="B62" s="17" t="s">
        <v>128</v>
      </c>
      <c r="C62" s="17" t="s">
        <v>8</v>
      </c>
      <c r="D62" s="17" t="s">
        <v>590</v>
      </c>
      <c r="E62" s="17">
        <v>1</v>
      </c>
      <c r="F62" s="17">
        <v>2</v>
      </c>
      <c r="G62" s="18">
        <v>985843.62</v>
      </c>
      <c r="H62" s="19">
        <v>6</v>
      </c>
      <c r="I62" s="19" t="s">
        <v>578</v>
      </c>
      <c r="J62" s="19" t="s">
        <v>579</v>
      </c>
      <c r="K62" s="19" t="s">
        <v>579</v>
      </c>
      <c r="L62" s="22">
        <v>1605</v>
      </c>
      <c r="M62" s="22"/>
      <c r="N62" t="str">
        <f>IFERROR(VLOOKUP(A62,[1]Worksheet!A:B,2,FALSE),"")</f>
        <v>R$ 1.605,00</v>
      </c>
      <c r="O62" s="23"/>
    </row>
    <row r="63" spans="1:15">
      <c r="A63" s="16" t="s">
        <v>129</v>
      </c>
      <c r="B63" s="17" t="s">
        <v>130</v>
      </c>
      <c r="C63" s="17" t="s">
        <v>8</v>
      </c>
      <c r="D63" s="17" t="s">
        <v>591</v>
      </c>
      <c r="E63" s="17">
        <v>2</v>
      </c>
      <c r="F63" s="17">
        <v>1</v>
      </c>
      <c r="G63" s="18">
        <v>2713855</v>
      </c>
      <c r="H63" s="19"/>
      <c r="I63" s="19" t="s">
        <v>578</v>
      </c>
      <c r="J63" s="19" t="s">
        <v>583</v>
      </c>
      <c r="K63" s="19" t="s">
        <v>583</v>
      </c>
      <c r="L63" s="22">
        <v>1056</v>
      </c>
      <c r="M63" s="22">
        <v>2170</v>
      </c>
      <c r="O63" s="23">
        <v>800</v>
      </c>
    </row>
    <row r="64" spans="1:15">
      <c r="A64" s="4" t="s">
        <v>131</v>
      </c>
      <c r="B64" s="9" t="s">
        <v>132</v>
      </c>
      <c r="C64" s="9" t="s">
        <v>8</v>
      </c>
      <c r="D64" s="9" t="s">
        <v>591</v>
      </c>
      <c r="E64" s="9">
        <v>1</v>
      </c>
      <c r="F64" s="9">
        <v>2</v>
      </c>
      <c r="G64" s="10">
        <v>38727.619999999995</v>
      </c>
      <c r="H64" s="11"/>
      <c r="I64" s="11" t="s">
        <v>578</v>
      </c>
      <c r="J64" s="11" t="s">
        <v>579</v>
      </c>
      <c r="K64" s="11" t="s">
        <v>579</v>
      </c>
      <c r="L64" s="12">
        <v>838</v>
      </c>
      <c r="M64" s="12"/>
      <c r="O64" s="23">
        <v>1463</v>
      </c>
    </row>
    <row r="65" spans="1:14">
      <c r="A65" s="4" t="s">
        <v>133</v>
      </c>
      <c r="B65" s="9" t="s">
        <v>134</v>
      </c>
      <c r="C65" s="9" t="s">
        <v>8</v>
      </c>
      <c r="D65" s="9" t="s">
        <v>591</v>
      </c>
      <c r="E65" s="9">
        <v>1</v>
      </c>
      <c r="F65" s="9">
        <v>2</v>
      </c>
      <c r="G65" s="10">
        <v>118713.78</v>
      </c>
      <c r="H65" s="11"/>
      <c r="I65" s="11" t="s">
        <v>578</v>
      </c>
      <c r="J65" s="11" t="s">
        <v>579</v>
      </c>
      <c r="K65" s="11" t="s">
        <v>583</v>
      </c>
      <c r="L65" s="12">
        <v>1056</v>
      </c>
      <c r="M65" s="12"/>
    </row>
    <row r="66" spans="1:14">
      <c r="A66" s="4" t="s">
        <v>135</v>
      </c>
      <c r="B66" s="9" t="s">
        <v>136</v>
      </c>
      <c r="C66" s="9" t="s">
        <v>8</v>
      </c>
      <c r="D66" s="9" t="s">
        <v>591</v>
      </c>
      <c r="E66" s="9">
        <v>2</v>
      </c>
      <c r="F66" s="9">
        <v>1</v>
      </c>
      <c r="G66" s="10">
        <v>31251.94</v>
      </c>
      <c r="H66" s="11"/>
      <c r="I66" s="11" t="s">
        <v>578</v>
      </c>
      <c r="J66" s="11" t="s">
        <v>579</v>
      </c>
      <c r="K66" s="11" t="s">
        <v>579</v>
      </c>
      <c r="L66" s="12">
        <v>523</v>
      </c>
      <c r="M66" s="12"/>
    </row>
    <row r="67" spans="1:14">
      <c r="A67" s="4" t="s">
        <v>137</v>
      </c>
      <c r="B67" s="9" t="s">
        <v>138</v>
      </c>
      <c r="C67" s="9" t="s">
        <v>8</v>
      </c>
      <c r="D67" s="9" t="s">
        <v>588</v>
      </c>
      <c r="E67" s="9">
        <v>1</v>
      </c>
      <c r="F67" s="9">
        <v>4</v>
      </c>
      <c r="G67" s="10">
        <v>214151.85</v>
      </c>
      <c r="H67" s="11"/>
      <c r="I67" s="11" t="s">
        <v>578</v>
      </c>
      <c r="J67" s="11" t="s">
        <v>579</v>
      </c>
      <c r="K67" s="11" t="s">
        <v>579</v>
      </c>
      <c r="L67" s="12">
        <v>1619</v>
      </c>
      <c r="M67" s="12"/>
      <c r="N67" t="str">
        <f>IFERROR(VLOOKUP(A67,[1]Worksheet!A:B,2,FALSE),"")</f>
        <v>R$ 1.619,00</v>
      </c>
    </row>
    <row r="68" spans="1:14">
      <c r="A68" s="4" t="s">
        <v>139</v>
      </c>
      <c r="B68" s="9" t="s">
        <v>140</v>
      </c>
      <c r="C68" s="9" t="s">
        <v>8</v>
      </c>
      <c r="D68" s="9" t="s">
        <v>588</v>
      </c>
      <c r="E68" s="9">
        <v>1</v>
      </c>
      <c r="F68" s="9">
        <v>2</v>
      </c>
      <c r="G68" s="10">
        <v>55064.229999999996</v>
      </c>
      <c r="H68" s="11"/>
      <c r="I68" s="11" t="s">
        <v>578</v>
      </c>
      <c r="J68" s="11" t="s">
        <v>579</v>
      </c>
      <c r="K68" s="11" t="s">
        <v>579</v>
      </c>
      <c r="L68" s="12">
        <v>590</v>
      </c>
      <c r="M68" s="12"/>
      <c r="N68" t="str">
        <f>IFERROR(VLOOKUP(A68,[1]Worksheet!A:B,2,FALSE),"")</f>
        <v>R$ 590,00</v>
      </c>
    </row>
    <row r="69" spans="1:14">
      <c r="A69" s="4" t="s">
        <v>141</v>
      </c>
      <c r="B69" s="9" t="s">
        <v>142</v>
      </c>
      <c r="C69" s="9" t="s">
        <v>8</v>
      </c>
      <c r="D69" s="9" t="s">
        <v>588</v>
      </c>
      <c r="E69" s="9">
        <v>1</v>
      </c>
      <c r="F69" s="9">
        <v>1</v>
      </c>
      <c r="G69" s="10"/>
      <c r="H69" s="11">
        <v>4</v>
      </c>
      <c r="I69" s="11" t="s">
        <v>578</v>
      </c>
      <c r="J69" s="11" t="s">
        <v>579</v>
      </c>
      <c r="K69" s="11" t="s">
        <v>579</v>
      </c>
      <c r="L69" s="12">
        <v>1056</v>
      </c>
      <c r="M69" s="12"/>
      <c r="N69" t="str">
        <f>IFERROR(VLOOKUP(A69,[1]Worksheet!A:B,2,FALSE),"")</f>
        <v>R$ 1.056,00</v>
      </c>
    </row>
    <row r="70" spans="1:14">
      <c r="A70" s="4" t="s">
        <v>143</v>
      </c>
      <c r="B70" s="9" t="s">
        <v>144</v>
      </c>
      <c r="C70" s="9" t="s">
        <v>8</v>
      </c>
      <c r="D70" s="9" t="s">
        <v>591</v>
      </c>
      <c r="E70" s="9">
        <v>1</v>
      </c>
      <c r="F70" s="9">
        <v>2</v>
      </c>
      <c r="G70" s="10">
        <v>344528.68</v>
      </c>
      <c r="H70" s="11"/>
      <c r="I70" s="11" t="s">
        <v>578</v>
      </c>
      <c r="J70" s="11" t="s">
        <v>579</v>
      </c>
      <c r="K70" s="11" t="s">
        <v>579</v>
      </c>
      <c r="L70" s="12">
        <v>746</v>
      </c>
      <c r="M70" s="12"/>
    </row>
    <row r="71" spans="1:14">
      <c r="A71" s="4" t="s">
        <v>145</v>
      </c>
      <c r="B71" s="9" t="s">
        <v>146</v>
      </c>
      <c r="C71" s="9" t="s">
        <v>8</v>
      </c>
      <c r="D71" s="9" t="s">
        <v>591</v>
      </c>
      <c r="E71" s="9">
        <v>1</v>
      </c>
      <c r="F71" s="9">
        <v>2</v>
      </c>
      <c r="G71" s="10">
        <v>533226.86</v>
      </c>
      <c r="H71" s="11"/>
      <c r="I71" s="11" t="s">
        <v>578</v>
      </c>
      <c r="J71" s="11" t="s">
        <v>579</v>
      </c>
      <c r="K71" s="11" t="s">
        <v>579</v>
      </c>
      <c r="L71" s="12"/>
      <c r="M71" s="12"/>
    </row>
    <row r="72" spans="1:14">
      <c r="A72" s="4" t="s">
        <v>147</v>
      </c>
      <c r="B72" s="9" t="s">
        <v>148</v>
      </c>
      <c r="C72" s="9" t="s">
        <v>8</v>
      </c>
      <c r="D72" s="9" t="s">
        <v>591</v>
      </c>
      <c r="E72" s="9">
        <v>1</v>
      </c>
      <c r="F72" s="9">
        <v>1</v>
      </c>
      <c r="G72" s="10">
        <v>267190.90000000002</v>
      </c>
      <c r="H72" s="11"/>
      <c r="I72" s="11" t="s">
        <v>578</v>
      </c>
      <c r="J72" s="11" t="s">
        <v>579</v>
      </c>
      <c r="K72" s="11" t="s">
        <v>579</v>
      </c>
      <c r="L72" s="12"/>
      <c r="M72" s="12"/>
    </row>
    <row r="73" spans="1:14">
      <c r="A73" s="4" t="s">
        <v>149</v>
      </c>
      <c r="B73" s="9" t="s">
        <v>150</v>
      </c>
      <c r="C73" s="9" t="s">
        <v>8</v>
      </c>
      <c r="D73" s="9" t="s">
        <v>590</v>
      </c>
      <c r="E73" s="9">
        <v>1</v>
      </c>
      <c r="F73" s="9">
        <v>2</v>
      </c>
      <c r="G73" s="10">
        <v>4011580.85</v>
      </c>
      <c r="H73" s="11"/>
      <c r="I73" s="11" t="s">
        <v>578</v>
      </c>
      <c r="J73" s="11" t="s">
        <v>579</v>
      </c>
      <c r="K73" s="11" t="s">
        <v>583</v>
      </c>
      <c r="L73" s="12">
        <v>2282</v>
      </c>
      <c r="M73" s="12"/>
      <c r="N73" t="str">
        <f>IFERROR(VLOOKUP(A73,[1]Worksheet!A:B,2,FALSE),"")</f>
        <v>R$ 2.282,00</v>
      </c>
    </row>
    <row r="74" spans="1:14">
      <c r="A74" s="4" t="s">
        <v>151</v>
      </c>
      <c r="B74" s="9" t="s">
        <v>152</v>
      </c>
      <c r="C74" s="9" t="s">
        <v>8</v>
      </c>
      <c r="D74" s="9" t="s">
        <v>590</v>
      </c>
      <c r="E74" s="9">
        <v>1</v>
      </c>
      <c r="F74" s="9">
        <v>4</v>
      </c>
      <c r="G74" s="10">
        <v>2870802.1700000004</v>
      </c>
      <c r="H74" s="11"/>
      <c r="I74" s="11" t="s">
        <v>578</v>
      </c>
      <c r="J74" s="11" t="s">
        <v>579</v>
      </c>
      <c r="K74" s="11" t="s">
        <v>579</v>
      </c>
      <c r="L74" s="12">
        <v>1801</v>
      </c>
      <c r="M74" s="12"/>
      <c r="N74" t="str">
        <f>IFERROR(VLOOKUP(A74,[1]Worksheet!A:B,2,FALSE),"")</f>
        <v>R$ 1.801,00</v>
      </c>
    </row>
    <row r="75" spans="1:14">
      <c r="A75" s="4" t="s">
        <v>153</v>
      </c>
      <c r="B75" s="9" t="s">
        <v>154</v>
      </c>
      <c r="C75" s="9" t="s">
        <v>8</v>
      </c>
      <c r="D75" s="9" t="s">
        <v>590</v>
      </c>
      <c r="E75" s="9">
        <v>1</v>
      </c>
      <c r="F75" s="9">
        <v>2</v>
      </c>
      <c r="G75" s="10">
        <v>668561.32000000007</v>
      </c>
      <c r="H75" s="11">
        <v>1</v>
      </c>
      <c r="I75" s="11" t="s">
        <v>578</v>
      </c>
      <c r="J75" s="11" t="s">
        <v>579</v>
      </c>
      <c r="K75" s="11" t="s">
        <v>579</v>
      </c>
      <c r="L75" s="12">
        <v>1220</v>
      </c>
      <c r="M75" s="12"/>
      <c r="N75" t="str">
        <f>IFERROR(VLOOKUP(A75,[1]Worksheet!A:B,2,FALSE),"")</f>
        <v>R$ 1.220,00</v>
      </c>
    </row>
    <row r="76" spans="1:14">
      <c r="A76" s="16" t="s">
        <v>155</v>
      </c>
      <c r="B76" s="17" t="s">
        <v>156</v>
      </c>
      <c r="C76" s="17" t="s">
        <v>8</v>
      </c>
      <c r="D76" s="17" t="s">
        <v>590</v>
      </c>
      <c r="E76" s="17">
        <v>1</v>
      </c>
      <c r="F76" s="17">
        <v>9</v>
      </c>
      <c r="G76" s="18">
        <v>3799617.4200000004</v>
      </c>
      <c r="H76" s="19">
        <v>10</v>
      </c>
      <c r="I76" s="19" t="s">
        <v>578</v>
      </c>
      <c r="J76" s="19" t="s">
        <v>579</v>
      </c>
      <c r="K76" s="19" t="s">
        <v>579</v>
      </c>
      <c r="L76" s="22">
        <v>2041</v>
      </c>
      <c r="M76" s="22">
        <v>4320</v>
      </c>
      <c r="N76" t="str">
        <f>IFERROR(VLOOKUP(A76,[1]Worksheet!A:B,2,FALSE),"")</f>
        <v>R$ 2.041,00</v>
      </c>
    </row>
    <row r="77" spans="1:14">
      <c r="A77" s="4" t="s">
        <v>157</v>
      </c>
      <c r="B77" s="9" t="s">
        <v>158</v>
      </c>
      <c r="C77" s="9" t="s">
        <v>8</v>
      </c>
      <c r="D77" s="9" t="s">
        <v>590</v>
      </c>
      <c r="E77" s="9">
        <v>1</v>
      </c>
      <c r="F77" s="9">
        <v>2</v>
      </c>
      <c r="G77" s="10">
        <v>3600467.6599999992</v>
      </c>
      <c r="H77" s="11">
        <v>6</v>
      </c>
      <c r="I77" s="11" t="s">
        <v>578</v>
      </c>
      <c r="J77" s="11" t="s">
        <v>579</v>
      </c>
      <c r="K77" s="11" t="s">
        <v>579</v>
      </c>
      <c r="L77" s="12">
        <v>1949</v>
      </c>
      <c r="M77" s="12"/>
      <c r="N77" t="str">
        <f>IFERROR(VLOOKUP(A77,[1]Worksheet!A:B,2,FALSE),"")</f>
        <v>R$ 1.949,00</v>
      </c>
    </row>
    <row r="78" spans="1:14">
      <c r="A78" s="4" t="s">
        <v>159</v>
      </c>
      <c r="B78" s="9" t="s">
        <v>160</v>
      </c>
      <c r="C78" s="9" t="s">
        <v>8</v>
      </c>
      <c r="D78" s="9" t="s">
        <v>590</v>
      </c>
      <c r="E78" s="9">
        <v>1</v>
      </c>
      <c r="F78" s="9">
        <v>4</v>
      </c>
      <c r="G78" s="10">
        <v>1145308.5900000001</v>
      </c>
      <c r="H78" s="11"/>
      <c r="I78" s="11" t="s">
        <v>578</v>
      </c>
      <c r="J78" s="11" t="s">
        <v>579</v>
      </c>
      <c r="K78" s="11" t="s">
        <v>579</v>
      </c>
      <c r="L78" s="12">
        <v>807</v>
      </c>
      <c r="M78" s="12"/>
      <c r="N78" t="str">
        <f>IFERROR(VLOOKUP(A78,[1]Worksheet!A:B,2,FALSE),"")</f>
        <v>R$ 807,00</v>
      </c>
    </row>
    <row r="79" spans="1:14">
      <c r="A79" s="4" t="s">
        <v>161</v>
      </c>
      <c r="B79" s="9" t="s">
        <v>162</v>
      </c>
      <c r="C79" s="9" t="s">
        <v>8</v>
      </c>
      <c r="D79" s="9" t="s">
        <v>590</v>
      </c>
      <c r="E79" s="9">
        <v>1</v>
      </c>
      <c r="F79" s="9">
        <v>1</v>
      </c>
      <c r="G79" s="10">
        <v>501704.94</v>
      </c>
      <c r="H79" s="11"/>
      <c r="I79" s="11" t="s">
        <v>578</v>
      </c>
      <c r="J79" s="11" t="s">
        <v>579</v>
      </c>
      <c r="K79" s="11" t="s">
        <v>579</v>
      </c>
      <c r="L79" s="12">
        <v>579</v>
      </c>
      <c r="M79" s="12"/>
      <c r="N79" t="str">
        <f>IFERROR(VLOOKUP(A79,[1]Worksheet!A:B,2,FALSE),"")</f>
        <v>R$ 579,00</v>
      </c>
    </row>
    <row r="80" spans="1:14">
      <c r="A80" s="16" t="s">
        <v>163</v>
      </c>
      <c r="B80" s="17" t="s">
        <v>164</v>
      </c>
      <c r="C80" s="17" t="s">
        <v>8</v>
      </c>
      <c r="D80" s="17" t="s">
        <v>593</v>
      </c>
      <c r="E80" s="17">
        <v>1</v>
      </c>
      <c r="F80" s="17">
        <v>2</v>
      </c>
      <c r="G80" s="18">
        <v>352215.08</v>
      </c>
      <c r="H80" s="19"/>
      <c r="I80" s="19" t="s">
        <v>578</v>
      </c>
      <c r="J80" s="19" t="s">
        <v>579</v>
      </c>
      <c r="K80" s="19" t="s">
        <v>579</v>
      </c>
      <c r="L80" s="22">
        <v>1460</v>
      </c>
      <c r="M80" s="22">
        <v>480</v>
      </c>
    </row>
    <row r="81" spans="1:14">
      <c r="A81" s="4" t="s">
        <v>165</v>
      </c>
      <c r="B81" s="9" t="s">
        <v>166</v>
      </c>
      <c r="C81" s="9" t="s">
        <v>8</v>
      </c>
      <c r="D81" s="9" t="s">
        <v>588</v>
      </c>
      <c r="E81" s="9">
        <v>1</v>
      </c>
      <c r="F81" s="9">
        <v>5</v>
      </c>
      <c r="G81" s="10">
        <v>3791805.08</v>
      </c>
      <c r="H81" s="11">
        <v>1</v>
      </c>
      <c r="I81" s="11" t="s">
        <v>578</v>
      </c>
      <c r="J81" s="11" t="s">
        <v>583</v>
      </c>
      <c r="K81" s="11" t="s">
        <v>579</v>
      </c>
      <c r="L81" s="12">
        <v>1087</v>
      </c>
      <c r="M81" s="12"/>
      <c r="N81" t="str">
        <f>IFERROR(VLOOKUP(A81,[1]Worksheet!A:B,2,FALSE),"")</f>
        <v>R$ 1.087,00</v>
      </c>
    </row>
    <row r="82" spans="1:14">
      <c r="A82" s="16" t="s">
        <v>167</v>
      </c>
      <c r="B82" s="21" t="s">
        <v>168</v>
      </c>
      <c r="C82" s="17" t="s">
        <v>8</v>
      </c>
      <c r="D82" s="17" t="s">
        <v>592</v>
      </c>
      <c r="E82" s="17">
        <v>1</v>
      </c>
      <c r="F82" s="17">
        <v>1</v>
      </c>
      <c r="G82" s="18">
        <v>8055475.5200000005</v>
      </c>
      <c r="H82" s="19">
        <v>25</v>
      </c>
      <c r="I82" s="19" t="s">
        <v>578</v>
      </c>
      <c r="J82" s="19" t="s">
        <v>583</v>
      </c>
      <c r="K82" s="19" t="s">
        <v>583</v>
      </c>
      <c r="L82" s="22">
        <v>3208</v>
      </c>
      <c r="M82" s="22">
        <v>12720</v>
      </c>
    </row>
    <row r="83" spans="1:14">
      <c r="A83" s="4" t="s">
        <v>169</v>
      </c>
      <c r="B83" s="9" t="s">
        <v>170</v>
      </c>
      <c r="C83" s="9" t="s">
        <v>8</v>
      </c>
      <c r="D83" s="9" t="s">
        <v>588</v>
      </c>
      <c r="E83" s="9">
        <v>1</v>
      </c>
      <c r="F83" s="9">
        <v>4</v>
      </c>
      <c r="G83" s="10">
        <v>531645.61</v>
      </c>
      <c r="H83" s="11"/>
      <c r="I83" s="11" t="s">
        <v>578</v>
      </c>
      <c r="J83" s="11" t="s">
        <v>579</v>
      </c>
      <c r="K83" s="11" t="s">
        <v>579</v>
      </c>
      <c r="L83" s="12">
        <v>860</v>
      </c>
      <c r="M83" s="12"/>
      <c r="N83" t="str">
        <f>IFERROR(VLOOKUP(A83,[1]Worksheet!A:B,2,FALSE),"")</f>
        <v>R$ 860,00</v>
      </c>
    </row>
    <row r="84" spans="1:14">
      <c r="A84" s="16" t="s">
        <v>171</v>
      </c>
      <c r="B84" s="17" t="s">
        <v>172</v>
      </c>
      <c r="C84" s="17" t="s">
        <v>8</v>
      </c>
      <c r="D84" s="17" t="s">
        <v>592</v>
      </c>
      <c r="E84" s="17">
        <v>1</v>
      </c>
      <c r="F84" s="17">
        <v>1</v>
      </c>
      <c r="G84" s="18">
        <v>2872529.4299999997</v>
      </c>
      <c r="H84" s="19">
        <v>8</v>
      </c>
      <c r="I84" s="19" t="s">
        <v>578</v>
      </c>
      <c r="J84" s="19" t="s">
        <v>579</v>
      </c>
      <c r="K84" s="19" t="s">
        <v>579</v>
      </c>
      <c r="L84" s="22">
        <v>1441</v>
      </c>
      <c r="M84" s="22">
        <v>3120</v>
      </c>
    </row>
    <row r="85" spans="1:14">
      <c r="A85" s="4" t="s">
        <v>173</v>
      </c>
      <c r="B85" s="9" t="s">
        <v>174</v>
      </c>
      <c r="C85" s="9" t="s">
        <v>8</v>
      </c>
      <c r="D85" s="9" t="s">
        <v>593</v>
      </c>
      <c r="E85" s="9"/>
      <c r="F85" s="9"/>
      <c r="G85" s="10"/>
      <c r="H85" s="11"/>
      <c r="I85" s="11" t="s">
        <v>578</v>
      </c>
      <c r="J85" s="11" t="s">
        <v>579</v>
      </c>
      <c r="K85" s="11" t="s">
        <v>579</v>
      </c>
      <c r="L85" s="12"/>
      <c r="M85" s="12"/>
    </row>
    <row r="86" spans="1:14">
      <c r="A86" s="4" t="s">
        <v>175</v>
      </c>
      <c r="B86" s="9" t="s">
        <v>176</v>
      </c>
      <c r="C86" s="9" t="s">
        <v>8</v>
      </c>
      <c r="D86" s="9" t="s">
        <v>590</v>
      </c>
      <c r="E86" s="9">
        <v>1</v>
      </c>
      <c r="F86" s="9">
        <v>2</v>
      </c>
      <c r="G86" s="10">
        <v>1005698.11</v>
      </c>
      <c r="H86" s="11">
        <v>2</v>
      </c>
      <c r="I86" s="11" t="s">
        <v>578</v>
      </c>
      <c r="J86" s="11" t="s">
        <v>579</v>
      </c>
      <c r="K86" s="11" t="s">
        <v>579</v>
      </c>
      <c r="L86" s="12">
        <v>800</v>
      </c>
      <c r="M86" s="12"/>
      <c r="N86" t="str">
        <f>IFERROR(VLOOKUP(A86,[1]Worksheet!A:B,2,FALSE),"")</f>
        <v>R$ 800,00</v>
      </c>
    </row>
    <row r="87" spans="1:14">
      <c r="A87" s="4" t="s">
        <v>177</v>
      </c>
      <c r="B87" s="9" t="s">
        <v>178</v>
      </c>
      <c r="C87" s="9" t="s">
        <v>8</v>
      </c>
      <c r="D87" s="9" t="s">
        <v>591</v>
      </c>
      <c r="E87" s="9">
        <v>1</v>
      </c>
      <c r="F87" s="9">
        <v>3</v>
      </c>
      <c r="G87" s="10">
        <v>1553774.5699999998</v>
      </c>
      <c r="H87" s="11"/>
      <c r="I87" s="11" t="s">
        <v>578</v>
      </c>
      <c r="J87" s="11" t="s">
        <v>579</v>
      </c>
      <c r="K87" s="11" t="s">
        <v>583</v>
      </c>
      <c r="L87" s="12">
        <v>838</v>
      </c>
      <c r="M87" s="12"/>
    </row>
    <row r="88" spans="1:14">
      <c r="A88" s="16" t="s">
        <v>179</v>
      </c>
      <c r="B88" s="17" t="s">
        <v>180</v>
      </c>
      <c r="C88" s="17" t="s">
        <v>8</v>
      </c>
      <c r="D88" s="17" t="s">
        <v>590</v>
      </c>
      <c r="E88" s="17">
        <v>1</v>
      </c>
      <c r="F88" s="17">
        <v>20</v>
      </c>
      <c r="G88" s="18">
        <v>4445549.4700000007</v>
      </c>
      <c r="H88" s="19">
        <v>3</v>
      </c>
      <c r="I88" s="19" t="s">
        <v>578</v>
      </c>
      <c r="J88" s="19" t="s">
        <v>579</v>
      </c>
      <c r="K88" s="19" t="s">
        <v>579</v>
      </c>
      <c r="L88" s="22">
        <v>2592</v>
      </c>
      <c r="M88" s="22">
        <v>3930</v>
      </c>
      <c r="N88" t="str">
        <f>IFERROR(VLOOKUP(A88,[1]Worksheet!A:B,2,FALSE),"")</f>
        <v>R$ 2.592,00</v>
      </c>
    </row>
    <row r="89" spans="1:14">
      <c r="A89" s="4" t="s">
        <v>181</v>
      </c>
      <c r="B89" s="9" t="s">
        <v>182</v>
      </c>
      <c r="C89" s="9" t="s">
        <v>8</v>
      </c>
      <c r="D89" s="9" t="s">
        <v>590</v>
      </c>
      <c r="E89" s="9">
        <v>1</v>
      </c>
      <c r="F89" s="9">
        <v>2</v>
      </c>
      <c r="G89" s="10">
        <v>945060.72</v>
      </c>
      <c r="H89" s="11"/>
      <c r="I89" s="11" t="s">
        <v>578</v>
      </c>
      <c r="J89" s="11" t="s">
        <v>579</v>
      </c>
      <c r="K89" s="11" t="s">
        <v>579</v>
      </c>
      <c r="L89" s="12">
        <v>1181</v>
      </c>
      <c r="M89" s="12"/>
      <c r="N89" t="str">
        <f>IFERROR(VLOOKUP(A89,[1]Worksheet!A:B,2,FALSE),"")</f>
        <v>R$ 1.181,00</v>
      </c>
    </row>
    <row r="90" spans="1:14">
      <c r="A90" s="16" t="s">
        <v>183</v>
      </c>
      <c r="B90" s="17" t="s">
        <v>184</v>
      </c>
      <c r="C90" s="17" t="s">
        <v>8</v>
      </c>
      <c r="D90" s="17" t="s">
        <v>588</v>
      </c>
      <c r="E90" s="17">
        <v>1</v>
      </c>
      <c r="F90" s="17">
        <v>2</v>
      </c>
      <c r="G90" s="18">
        <v>626792.04</v>
      </c>
      <c r="H90" s="19"/>
      <c r="I90" s="19" t="s">
        <v>578</v>
      </c>
      <c r="J90" s="19" t="s">
        <v>579</v>
      </c>
      <c r="K90" s="19" t="s">
        <v>579</v>
      </c>
      <c r="L90" s="22" t="s">
        <v>595</v>
      </c>
      <c r="M90" s="22">
        <v>500</v>
      </c>
      <c r="N90" t="str">
        <f>IFERROR(VLOOKUP(A90,[1]Worksheet!A:B,2,FALSE),"")</f>
        <v>R$ 825,00</v>
      </c>
    </row>
    <row r="91" spans="1:14">
      <c r="A91" s="4" t="s">
        <v>185</v>
      </c>
      <c r="B91" s="9" t="s">
        <v>120</v>
      </c>
      <c r="C91" s="9" t="s">
        <v>8</v>
      </c>
      <c r="D91" s="9" t="s">
        <v>588</v>
      </c>
      <c r="E91" s="9"/>
      <c r="F91" s="9"/>
      <c r="G91" s="10"/>
      <c r="H91" s="11"/>
      <c r="I91" s="11" t="s">
        <v>578</v>
      </c>
      <c r="J91" s="11" t="s">
        <v>579</v>
      </c>
      <c r="K91" s="11" t="s">
        <v>579</v>
      </c>
      <c r="L91" s="12" t="s">
        <v>596</v>
      </c>
      <c r="M91" s="12"/>
      <c r="N91" t="str">
        <f>IFERROR(VLOOKUP(A91,[1]Worksheet!A:B,2,FALSE),"")</f>
        <v>R$ 800,00</v>
      </c>
    </row>
    <row r="92" spans="1:14">
      <c r="A92" s="4" t="s">
        <v>186</v>
      </c>
      <c r="B92" s="9" t="s">
        <v>187</v>
      </c>
      <c r="C92" s="9" t="s">
        <v>8</v>
      </c>
      <c r="D92" s="9" t="s">
        <v>591</v>
      </c>
      <c r="E92" s="9">
        <v>1</v>
      </c>
      <c r="F92" s="9">
        <v>2</v>
      </c>
      <c r="G92" s="10">
        <v>34737.750000000007</v>
      </c>
      <c r="H92" s="11"/>
      <c r="I92" s="11" t="s">
        <v>578</v>
      </c>
      <c r="J92" s="11" t="s">
        <v>579</v>
      </c>
      <c r="K92" s="11" t="s">
        <v>579</v>
      </c>
      <c r="L92" s="12">
        <v>801</v>
      </c>
      <c r="M92" s="12"/>
    </row>
    <row r="93" spans="1:14">
      <c r="A93" s="16" t="s">
        <v>188</v>
      </c>
      <c r="B93" s="17" t="s">
        <v>189</v>
      </c>
      <c r="C93" s="17" t="s">
        <v>8</v>
      </c>
      <c r="D93" s="17" t="s">
        <v>590</v>
      </c>
      <c r="E93" s="17">
        <v>1</v>
      </c>
      <c r="F93" s="17">
        <v>3</v>
      </c>
      <c r="G93" s="18">
        <v>1590455.6900000002</v>
      </c>
      <c r="H93" s="19"/>
      <c r="I93" s="19" t="s">
        <v>578</v>
      </c>
      <c r="J93" s="19" t="s">
        <v>579</v>
      </c>
      <c r="K93" s="19" t="s">
        <v>579</v>
      </c>
      <c r="L93" s="22">
        <v>1463</v>
      </c>
      <c r="M93" s="22">
        <v>1270</v>
      </c>
      <c r="N93" t="str">
        <f>IFERROR(VLOOKUP(A93,[1]Worksheet!A:B,2,FALSE),"")</f>
        <v>R$ 1.463,00</v>
      </c>
    </row>
    <row r="94" spans="1:14">
      <c r="A94" s="4" t="s">
        <v>190</v>
      </c>
      <c r="B94" s="9" t="s">
        <v>191</v>
      </c>
      <c r="C94" s="9" t="s">
        <v>8</v>
      </c>
      <c r="D94" s="9"/>
      <c r="E94" s="9">
        <v>1</v>
      </c>
      <c r="F94" s="9"/>
      <c r="G94" s="10"/>
      <c r="H94" s="11" t="s">
        <v>586</v>
      </c>
      <c r="I94" s="11" t="s">
        <v>582</v>
      </c>
      <c r="J94" s="11" t="s">
        <v>579</v>
      </c>
      <c r="K94" s="11" t="s">
        <v>579</v>
      </c>
      <c r="L94" s="12">
        <v>1919</v>
      </c>
      <c r="M94" s="12"/>
    </row>
    <row r="95" spans="1:14">
      <c r="A95" s="4" t="s">
        <v>192</v>
      </c>
      <c r="B95" s="9" t="s">
        <v>193</v>
      </c>
      <c r="C95" s="9" t="s">
        <v>8</v>
      </c>
      <c r="D95" s="9"/>
      <c r="E95" s="9">
        <v>1</v>
      </c>
      <c r="F95" s="9"/>
      <c r="G95" s="10"/>
      <c r="H95" s="11" t="s">
        <v>586</v>
      </c>
      <c r="I95" s="11" t="s">
        <v>582</v>
      </c>
      <c r="J95" s="11" t="s">
        <v>579</v>
      </c>
      <c r="K95" s="11" t="s">
        <v>579</v>
      </c>
      <c r="L95" s="12">
        <v>3301</v>
      </c>
      <c r="M95" s="12"/>
    </row>
    <row r="96" spans="1:14">
      <c r="A96" s="4" t="s">
        <v>194</v>
      </c>
      <c r="B96" s="9" t="s">
        <v>195</v>
      </c>
      <c r="C96" s="9" t="s">
        <v>8</v>
      </c>
      <c r="D96" s="9"/>
      <c r="E96" s="9">
        <v>2</v>
      </c>
      <c r="F96" s="9"/>
      <c r="G96" s="10"/>
      <c r="H96" s="11" t="s">
        <v>586</v>
      </c>
      <c r="I96" s="11" t="s">
        <v>582</v>
      </c>
      <c r="J96" s="11" t="s">
        <v>579</v>
      </c>
      <c r="K96" s="11" t="s">
        <v>579</v>
      </c>
      <c r="L96" s="12">
        <v>5192</v>
      </c>
      <c r="M96" s="12"/>
    </row>
    <row r="97" spans="1:16">
      <c r="A97" s="16" t="s">
        <v>196</v>
      </c>
      <c r="B97" s="17" t="s">
        <v>197</v>
      </c>
      <c r="C97" s="17" t="s">
        <v>8</v>
      </c>
      <c r="D97" s="17" t="s">
        <v>590</v>
      </c>
      <c r="E97" s="17">
        <v>2</v>
      </c>
      <c r="F97" s="17">
        <v>26</v>
      </c>
      <c r="G97" s="18">
        <v>28716144.760000002</v>
      </c>
      <c r="H97" s="19">
        <v>37</v>
      </c>
      <c r="I97" s="19" t="s">
        <v>578</v>
      </c>
      <c r="J97" s="19" t="s">
        <v>583</v>
      </c>
      <c r="K97" s="19" t="s">
        <v>583</v>
      </c>
      <c r="L97" s="22">
        <v>3428</v>
      </c>
      <c r="M97" s="22">
        <v>41920</v>
      </c>
      <c r="N97" t="str">
        <f>IFERROR(VLOOKUP(A97,[1]Worksheet!A:B,2,FALSE),"")</f>
        <v>R$ 2.456,00</v>
      </c>
      <c r="P97">
        <v>33700</v>
      </c>
    </row>
    <row r="98" spans="1:16">
      <c r="A98" s="4" t="s">
        <v>198</v>
      </c>
      <c r="B98" s="9" t="s">
        <v>197</v>
      </c>
      <c r="C98" s="9" t="s">
        <v>8</v>
      </c>
      <c r="D98" s="9" t="s">
        <v>590</v>
      </c>
      <c r="E98" s="9">
        <v>1</v>
      </c>
      <c r="F98" s="9">
        <v>2</v>
      </c>
      <c r="G98" s="10">
        <v>6308898.5500000007</v>
      </c>
      <c r="H98" s="11" t="s">
        <v>586</v>
      </c>
      <c r="I98" s="11" t="s">
        <v>578</v>
      </c>
      <c r="J98" s="11" t="s">
        <v>583</v>
      </c>
      <c r="K98" s="11" t="s">
        <v>583</v>
      </c>
      <c r="L98" s="12">
        <v>2456</v>
      </c>
      <c r="M98" s="12"/>
      <c r="N98" t="str">
        <f>IFERROR(VLOOKUP(A98,[1]Worksheet!A:B,2,FALSE),"")</f>
        <v/>
      </c>
    </row>
    <row r="99" spans="1:16">
      <c r="A99" s="4" t="s">
        <v>199</v>
      </c>
      <c r="B99" s="9" t="s">
        <v>200</v>
      </c>
      <c r="C99" s="9" t="s">
        <v>8</v>
      </c>
      <c r="D99" s="9" t="s">
        <v>588</v>
      </c>
      <c r="E99" s="9">
        <v>1</v>
      </c>
      <c r="F99" s="9">
        <v>25</v>
      </c>
      <c r="G99" s="10"/>
      <c r="H99" s="11"/>
      <c r="I99" s="11" t="s">
        <v>578</v>
      </c>
      <c r="J99" s="11" t="s">
        <v>579</v>
      </c>
      <c r="K99" s="11" t="s">
        <v>579</v>
      </c>
      <c r="L99" s="12">
        <v>184</v>
      </c>
      <c r="M99" s="12"/>
      <c r="N99" t="str">
        <f>IFERROR(VLOOKUP(A99,[1]Worksheet!A:B,2,FALSE),"")</f>
        <v>R$ 184,00</v>
      </c>
    </row>
    <row r="100" spans="1:16">
      <c r="A100" s="4" t="s">
        <v>201</v>
      </c>
      <c r="B100" s="9" t="s">
        <v>202</v>
      </c>
      <c r="C100" s="9" t="s">
        <v>8</v>
      </c>
      <c r="D100" s="9" t="s">
        <v>590</v>
      </c>
      <c r="E100" s="9">
        <v>1</v>
      </c>
      <c r="F100" s="9">
        <v>6</v>
      </c>
      <c r="G100" s="10"/>
      <c r="H100" s="11" t="s">
        <v>586</v>
      </c>
      <c r="I100" s="11" t="s">
        <v>578</v>
      </c>
      <c r="J100" s="11" t="s">
        <v>579</v>
      </c>
      <c r="K100" s="11" t="s">
        <v>579</v>
      </c>
      <c r="L100" s="12">
        <v>1619</v>
      </c>
      <c r="M100" s="12"/>
      <c r="N100" t="str">
        <f>IFERROR(VLOOKUP(A100,[1]Worksheet!A:B,2,FALSE),"")</f>
        <v>R$ 1.619,00</v>
      </c>
    </row>
    <row r="101" spans="1:16">
      <c r="A101" s="4" t="s">
        <v>203</v>
      </c>
      <c r="B101" s="9" t="s">
        <v>204</v>
      </c>
      <c r="C101" s="9" t="s">
        <v>8</v>
      </c>
      <c r="D101" s="9" t="s">
        <v>591</v>
      </c>
      <c r="E101" s="9">
        <v>1</v>
      </c>
      <c r="F101" s="9">
        <v>1</v>
      </c>
      <c r="G101" s="10">
        <v>19458.28</v>
      </c>
      <c r="H101" s="11">
        <v>1</v>
      </c>
      <c r="I101" s="11" t="s">
        <v>578</v>
      </c>
      <c r="J101" s="11" t="s">
        <v>579</v>
      </c>
      <c r="K101" s="11" t="s">
        <v>579</v>
      </c>
      <c r="L101" s="12">
        <v>1490</v>
      </c>
      <c r="M101" s="12"/>
    </row>
    <row r="102" spans="1:16">
      <c r="A102" s="4" t="s">
        <v>205</v>
      </c>
      <c r="B102" s="9" t="s">
        <v>206</v>
      </c>
      <c r="C102" s="9" t="s">
        <v>8</v>
      </c>
      <c r="D102" s="9" t="s">
        <v>590</v>
      </c>
      <c r="E102" s="9">
        <v>1</v>
      </c>
      <c r="F102" s="9">
        <v>2</v>
      </c>
      <c r="G102" s="10">
        <v>301015.99000000005</v>
      </c>
      <c r="H102" s="11"/>
      <c r="I102" s="11" t="s">
        <v>578</v>
      </c>
      <c r="J102" s="11" t="s">
        <v>579</v>
      </c>
      <c r="K102" s="11" t="s">
        <v>579</v>
      </c>
      <c r="L102" s="12">
        <v>762</v>
      </c>
      <c r="M102" s="12"/>
      <c r="N102" t="str">
        <f>IFERROR(VLOOKUP(A102,[1]Worksheet!A:B,2,FALSE),"")</f>
        <v>R$ 762,00</v>
      </c>
    </row>
    <row r="103" spans="1:16">
      <c r="A103" s="4" t="s">
        <v>207</v>
      </c>
      <c r="B103" s="9" t="s">
        <v>208</v>
      </c>
      <c r="C103" s="9" t="s">
        <v>8</v>
      </c>
      <c r="D103" s="9" t="s">
        <v>588</v>
      </c>
      <c r="E103" s="9">
        <v>1</v>
      </c>
      <c r="F103" s="9">
        <v>2</v>
      </c>
      <c r="G103" s="10">
        <v>436719.05000000005</v>
      </c>
      <c r="H103" s="11"/>
      <c r="I103" s="11" t="s">
        <v>578</v>
      </c>
      <c r="J103" s="11" t="s">
        <v>579</v>
      </c>
      <c r="K103" s="11" t="s">
        <v>579</v>
      </c>
      <c r="L103" s="12">
        <v>979</v>
      </c>
      <c r="M103" s="12"/>
      <c r="N103" t="str">
        <f>IFERROR(VLOOKUP(A103,[1]Worksheet!A:B,2,FALSE),"")</f>
        <v>R$ 979,00</v>
      </c>
    </row>
    <row r="104" spans="1:16">
      <c r="A104" s="4" t="s">
        <v>209</v>
      </c>
      <c r="B104" s="9" t="s">
        <v>210</v>
      </c>
      <c r="C104" s="9" t="s">
        <v>8</v>
      </c>
      <c r="D104" s="9" t="s">
        <v>590</v>
      </c>
      <c r="E104" s="9">
        <v>1</v>
      </c>
      <c r="F104" s="9">
        <v>2</v>
      </c>
      <c r="G104" s="10">
        <v>478136.15999999992</v>
      </c>
      <c r="H104" s="11"/>
      <c r="I104" s="11" t="s">
        <v>578</v>
      </c>
      <c r="J104" s="11" t="s">
        <v>579</v>
      </c>
      <c r="K104" s="11" t="s">
        <v>579</v>
      </c>
      <c r="L104" s="12">
        <v>913</v>
      </c>
      <c r="M104" s="12"/>
      <c r="N104" t="str">
        <f>IFERROR(VLOOKUP(A104,[1]Worksheet!A:B,2,FALSE),"")</f>
        <v>R$ 913,00</v>
      </c>
    </row>
    <row r="105" spans="1:16">
      <c r="A105" s="4" t="s">
        <v>211</v>
      </c>
      <c r="B105" s="9" t="s">
        <v>212</v>
      </c>
      <c r="C105" s="9" t="s">
        <v>8</v>
      </c>
      <c r="D105" s="9" t="s">
        <v>588</v>
      </c>
      <c r="E105" s="9">
        <v>2</v>
      </c>
      <c r="F105" s="9">
        <v>6</v>
      </c>
      <c r="G105" s="10"/>
      <c r="H105" s="11" t="s">
        <v>586</v>
      </c>
      <c r="I105" s="11" t="s">
        <v>578</v>
      </c>
      <c r="J105" s="11" t="s">
        <v>579</v>
      </c>
      <c r="K105" s="11" t="s">
        <v>579</v>
      </c>
      <c r="L105" t="s">
        <v>597</v>
      </c>
      <c r="M105" s="12"/>
      <c r="N105" t="str">
        <f>IFERROR(VLOOKUP(A105,[1]Worksheet!A:B,2,FALSE),"")</f>
        <v>R$ 1.387,00</v>
      </c>
    </row>
    <row r="106" spans="1:16">
      <c r="A106" s="4" t="s">
        <v>213</v>
      </c>
      <c r="B106" s="9" t="s">
        <v>214</v>
      </c>
      <c r="C106" s="9" t="s">
        <v>8</v>
      </c>
      <c r="D106" s="9" t="s">
        <v>590</v>
      </c>
      <c r="E106" s="9">
        <v>1</v>
      </c>
      <c r="F106" s="9">
        <v>1</v>
      </c>
      <c r="G106" s="10">
        <v>414931.05000000005</v>
      </c>
      <c r="H106" s="11"/>
      <c r="I106" s="11" t="s">
        <v>578</v>
      </c>
      <c r="J106" s="11" t="s">
        <v>579</v>
      </c>
      <c r="K106" s="11" t="s">
        <v>579</v>
      </c>
      <c r="L106" s="12">
        <v>622</v>
      </c>
      <c r="M106" s="12"/>
      <c r="N106" t="str">
        <f>IFERROR(VLOOKUP(A106,[1]Worksheet!A:B,2,FALSE),"")</f>
        <v>R$ 622,00</v>
      </c>
    </row>
    <row r="107" spans="1:16">
      <c r="A107" s="4" t="s">
        <v>215</v>
      </c>
      <c r="B107" s="9" t="s">
        <v>216</v>
      </c>
      <c r="C107" s="9" t="s">
        <v>8</v>
      </c>
      <c r="D107" s="9" t="s">
        <v>591</v>
      </c>
      <c r="E107" s="9">
        <v>1</v>
      </c>
      <c r="F107" s="9">
        <v>1</v>
      </c>
      <c r="G107" s="10"/>
      <c r="H107" s="11"/>
      <c r="I107" s="11" t="s">
        <v>578</v>
      </c>
      <c r="J107" s="11" t="s">
        <v>579</v>
      </c>
      <c r="K107" s="11" t="s">
        <v>579</v>
      </c>
      <c r="L107" s="12"/>
      <c r="M107" s="12"/>
    </row>
    <row r="108" spans="1:16">
      <c r="A108" s="4" t="s">
        <v>217</v>
      </c>
      <c r="B108" s="9" t="s">
        <v>218</v>
      </c>
      <c r="C108" s="9" t="s">
        <v>8</v>
      </c>
      <c r="D108" s="9" t="s">
        <v>591</v>
      </c>
      <c r="E108" s="9"/>
      <c r="F108" s="9"/>
      <c r="G108" s="10"/>
      <c r="H108" s="11"/>
      <c r="I108" s="11" t="s">
        <v>578</v>
      </c>
      <c r="J108" s="11" t="s">
        <v>579</v>
      </c>
      <c r="K108" s="11" t="s">
        <v>579</v>
      </c>
      <c r="L108" s="12"/>
      <c r="M108" s="12"/>
    </row>
    <row r="109" spans="1:16">
      <c r="A109" s="16" t="s">
        <v>220</v>
      </c>
      <c r="B109" s="17" t="s">
        <v>221</v>
      </c>
      <c r="C109" s="17" t="s">
        <v>219</v>
      </c>
      <c r="D109" s="17" t="s">
        <v>593</v>
      </c>
      <c r="E109" s="17">
        <v>7</v>
      </c>
      <c r="F109" s="17">
        <v>3</v>
      </c>
      <c r="G109" s="18">
        <v>27608255.329999998</v>
      </c>
      <c r="H109" s="19"/>
      <c r="I109" s="19" t="s">
        <v>578</v>
      </c>
      <c r="J109" s="19" t="s">
        <v>583</v>
      </c>
      <c r="K109" s="19" t="s">
        <v>583</v>
      </c>
      <c r="L109" s="22">
        <v>10894</v>
      </c>
      <c r="M109" s="22">
        <v>37710</v>
      </c>
    </row>
    <row r="110" spans="1:16">
      <c r="A110" s="16" t="s">
        <v>222</v>
      </c>
      <c r="B110" s="17" t="s">
        <v>223</v>
      </c>
      <c r="C110" s="17" t="s">
        <v>219</v>
      </c>
      <c r="D110" s="17" t="s">
        <v>590</v>
      </c>
      <c r="E110" s="17">
        <v>1</v>
      </c>
      <c r="F110" s="17">
        <v>20</v>
      </c>
      <c r="G110" s="18">
        <v>10518539.579999998</v>
      </c>
      <c r="H110" s="19">
        <v>30</v>
      </c>
      <c r="I110" s="19" t="s">
        <v>578</v>
      </c>
      <c r="J110" s="19" t="s">
        <v>579</v>
      </c>
      <c r="K110" s="19" t="s">
        <v>583</v>
      </c>
      <c r="L110" s="22">
        <v>4793</v>
      </c>
      <c r="M110" s="22">
        <v>21440</v>
      </c>
      <c r="N110" t="str">
        <f>IFERROR(VLOOKUP(A110,[1]Worksheet!A:B,2,FALSE),"")</f>
        <v>R$ 4.793,00</v>
      </c>
    </row>
    <row r="111" spans="1:16">
      <c r="A111" s="4" t="s">
        <v>224</v>
      </c>
      <c r="B111" s="9" t="s">
        <v>225</v>
      </c>
      <c r="C111" s="9" t="s">
        <v>219</v>
      </c>
      <c r="D111" s="9" t="s">
        <v>590</v>
      </c>
      <c r="E111" s="9">
        <v>1</v>
      </c>
      <c r="F111" s="9">
        <v>4</v>
      </c>
      <c r="G111" s="10">
        <v>1411045</v>
      </c>
      <c r="H111" s="11" t="s">
        <v>586</v>
      </c>
      <c r="I111" s="11" t="s">
        <v>578</v>
      </c>
      <c r="J111" s="11" t="s">
        <v>579</v>
      </c>
      <c r="K111" s="11" t="s">
        <v>579</v>
      </c>
      <c r="L111" s="12">
        <v>1782</v>
      </c>
      <c r="M111" s="12"/>
      <c r="N111" t="str">
        <f>IFERROR(VLOOKUP(A111,[1]Worksheet!A:B,2,FALSE),"")</f>
        <v>R$ 1.782,00</v>
      </c>
    </row>
    <row r="112" spans="1:16">
      <c r="A112" s="4" t="s">
        <v>226</v>
      </c>
      <c r="B112" s="9" t="s">
        <v>227</v>
      </c>
      <c r="C112" s="9" t="s">
        <v>219</v>
      </c>
      <c r="D112" s="9" t="s">
        <v>590</v>
      </c>
      <c r="E112" s="9">
        <v>2</v>
      </c>
      <c r="F112" s="9">
        <v>5</v>
      </c>
      <c r="G112" s="10">
        <v>30594482.859999996</v>
      </c>
      <c r="H112" s="11" t="s">
        <v>586</v>
      </c>
      <c r="I112" s="11" t="s">
        <v>578</v>
      </c>
      <c r="J112" s="11" t="s">
        <v>583</v>
      </c>
      <c r="K112" s="11" t="s">
        <v>583</v>
      </c>
      <c r="L112" s="12">
        <v>6348</v>
      </c>
      <c r="M112" s="12"/>
      <c r="N112" t="str">
        <f>IFERROR(VLOOKUP(A112,[1]Worksheet!A:B,2,FALSE),"")</f>
        <v>R$ 6.348,00</v>
      </c>
    </row>
    <row r="113" spans="1:14">
      <c r="A113" s="16" t="s">
        <v>228</v>
      </c>
      <c r="B113" s="17" t="s">
        <v>229</v>
      </c>
      <c r="C113" s="17" t="s">
        <v>219</v>
      </c>
      <c r="D113" s="17" t="s">
        <v>591</v>
      </c>
      <c r="E113" s="17">
        <v>1</v>
      </c>
      <c r="F113" s="17">
        <v>2</v>
      </c>
      <c r="G113" s="18">
        <v>7807525.5699999994</v>
      </c>
      <c r="H113" s="19">
        <v>44</v>
      </c>
      <c r="I113" s="19" t="s">
        <v>578</v>
      </c>
      <c r="J113" s="19" t="s">
        <v>579</v>
      </c>
      <c r="K113" s="19" t="s">
        <v>579</v>
      </c>
      <c r="L113" s="22">
        <v>8783</v>
      </c>
      <c r="M113" s="22">
        <v>15630</v>
      </c>
    </row>
    <row r="114" spans="1:14">
      <c r="A114" s="4" t="s">
        <v>230</v>
      </c>
      <c r="B114" s="9" t="s">
        <v>231</v>
      </c>
      <c r="C114" s="9" t="s">
        <v>219</v>
      </c>
      <c r="D114" s="9" t="s">
        <v>591</v>
      </c>
      <c r="E114" s="9">
        <v>1</v>
      </c>
      <c r="F114" s="9">
        <v>1</v>
      </c>
      <c r="G114" s="10"/>
      <c r="H114" s="11"/>
      <c r="I114" s="11" t="s">
        <v>578</v>
      </c>
      <c r="J114" s="11" t="s">
        <v>579</v>
      </c>
      <c r="K114" s="11" t="s">
        <v>579</v>
      </c>
      <c r="L114" s="12">
        <v>229</v>
      </c>
      <c r="M114" s="12"/>
    </row>
    <row r="115" spans="1:14">
      <c r="A115" s="16" t="s">
        <v>232</v>
      </c>
      <c r="B115" s="17" t="s">
        <v>233</v>
      </c>
      <c r="C115" s="17" t="s">
        <v>219</v>
      </c>
      <c r="D115" s="17" t="s">
        <v>594</v>
      </c>
      <c r="E115" s="17">
        <v>1</v>
      </c>
      <c r="F115" s="17">
        <v>1</v>
      </c>
      <c r="G115" s="18">
        <v>10448627.149999999</v>
      </c>
      <c r="H115" s="19">
        <v>36</v>
      </c>
      <c r="I115" s="19" t="s">
        <v>578</v>
      </c>
      <c r="J115" s="19" t="s">
        <v>583</v>
      </c>
      <c r="K115" s="19" t="s">
        <v>583</v>
      </c>
      <c r="L115" s="22">
        <v>5194</v>
      </c>
      <c r="M115" s="22">
        <v>29720</v>
      </c>
    </row>
    <row r="116" spans="1:14">
      <c r="A116" s="4" t="s">
        <v>234</v>
      </c>
      <c r="B116" s="9" t="s">
        <v>235</v>
      </c>
      <c r="C116" s="9" t="s">
        <v>236</v>
      </c>
      <c r="D116" s="9"/>
      <c r="E116" s="9">
        <v>1</v>
      </c>
      <c r="F116" s="9">
        <v>1</v>
      </c>
      <c r="G116" s="10"/>
      <c r="H116" s="11"/>
      <c r="I116" s="11" t="s">
        <v>578</v>
      </c>
      <c r="J116" s="11" t="s">
        <v>579</v>
      </c>
      <c r="K116" s="11" t="s">
        <v>579</v>
      </c>
      <c r="L116" s="12"/>
      <c r="M116" s="12"/>
    </row>
    <row r="117" spans="1:14">
      <c r="A117" s="4" t="s">
        <v>237</v>
      </c>
      <c r="B117" s="9" t="s">
        <v>238</v>
      </c>
      <c r="C117" s="9" t="s">
        <v>236</v>
      </c>
      <c r="D117" s="9" t="s">
        <v>590</v>
      </c>
      <c r="E117" s="9">
        <v>1</v>
      </c>
      <c r="F117" s="9">
        <v>1</v>
      </c>
      <c r="G117" s="10"/>
      <c r="H117" s="11"/>
      <c r="I117" s="11" t="s">
        <v>578</v>
      </c>
      <c r="J117" s="11" t="s">
        <v>579</v>
      </c>
      <c r="K117" s="11" t="s">
        <v>579</v>
      </c>
      <c r="L117" s="12"/>
      <c r="M117" s="12"/>
      <c r="N117" t="str">
        <f>IFERROR(VLOOKUP(A117,[1]Worksheet!A:B,2,FALSE),"")</f>
        <v/>
      </c>
    </row>
    <row r="118" spans="1:14">
      <c r="A118" s="4" t="s">
        <v>239</v>
      </c>
      <c r="B118" s="9" t="s">
        <v>240</v>
      </c>
      <c r="C118" s="9" t="s">
        <v>236</v>
      </c>
      <c r="D118" s="9" t="s">
        <v>593</v>
      </c>
      <c r="E118" s="9"/>
      <c r="F118" s="9"/>
      <c r="G118" s="10"/>
      <c r="H118" s="11" t="s">
        <v>586</v>
      </c>
      <c r="I118" s="11" t="s">
        <v>578</v>
      </c>
      <c r="J118" s="11" t="s">
        <v>579</v>
      </c>
      <c r="K118" s="11" t="s">
        <v>579</v>
      </c>
      <c r="L118" s="12"/>
      <c r="M118" s="12"/>
    </row>
    <row r="119" spans="1:14">
      <c r="A119" s="4" t="s">
        <v>241</v>
      </c>
      <c r="B119" s="9" t="s">
        <v>242</v>
      </c>
      <c r="C119" s="9" t="s">
        <v>236</v>
      </c>
      <c r="D119" s="9"/>
      <c r="E119" s="9"/>
      <c r="F119" s="9"/>
      <c r="G119" s="10"/>
      <c r="H119" s="11"/>
      <c r="I119" s="11" t="s">
        <v>578</v>
      </c>
      <c r="J119" s="11" t="s">
        <v>579</v>
      </c>
      <c r="K119" s="11" t="s">
        <v>579</v>
      </c>
      <c r="L119" s="12"/>
      <c r="M119" s="12"/>
    </row>
    <row r="120" spans="1:14">
      <c r="A120" s="4" t="s">
        <v>243</v>
      </c>
      <c r="B120" s="9" t="s">
        <v>244</v>
      </c>
      <c r="C120" s="9" t="s">
        <v>236</v>
      </c>
      <c r="D120" s="9" t="s">
        <v>591</v>
      </c>
      <c r="E120" s="9">
        <v>1</v>
      </c>
      <c r="F120" s="9">
        <v>1</v>
      </c>
      <c r="G120" s="10">
        <v>823190.31999999983</v>
      </c>
      <c r="H120" s="11" t="s">
        <v>586</v>
      </c>
      <c r="I120" s="11" t="s">
        <v>578</v>
      </c>
      <c r="J120" s="11" t="s">
        <v>579</v>
      </c>
      <c r="K120" s="11" t="s">
        <v>581</v>
      </c>
      <c r="L120" s="12"/>
      <c r="M120" s="12"/>
    </row>
    <row r="121" spans="1:14">
      <c r="A121" s="4" t="s">
        <v>246</v>
      </c>
      <c r="B121" s="9" t="s">
        <v>247</v>
      </c>
      <c r="C121" s="9" t="s">
        <v>236</v>
      </c>
      <c r="D121" s="9"/>
      <c r="E121" s="9"/>
      <c r="F121" s="9"/>
      <c r="G121" s="10"/>
      <c r="H121" s="11"/>
      <c r="I121" s="11" t="s">
        <v>582</v>
      </c>
      <c r="J121" s="11" t="s">
        <v>579</v>
      </c>
      <c r="K121" s="11" t="s">
        <v>579</v>
      </c>
      <c r="L121" s="12"/>
      <c r="M121" s="12"/>
    </row>
    <row r="122" spans="1:14">
      <c r="A122" s="4" t="s">
        <v>248</v>
      </c>
      <c r="B122" s="9" t="s">
        <v>245</v>
      </c>
      <c r="C122" s="9" t="s">
        <v>236</v>
      </c>
      <c r="D122" s="9"/>
      <c r="E122" s="9"/>
      <c r="F122" s="9"/>
      <c r="G122" s="10"/>
      <c r="H122" s="11"/>
      <c r="I122" s="11" t="s">
        <v>582</v>
      </c>
      <c r="J122" s="11" t="s">
        <v>579</v>
      </c>
      <c r="K122" s="11" t="s">
        <v>579</v>
      </c>
      <c r="L122" s="12">
        <v>1115</v>
      </c>
      <c r="M122" s="12"/>
    </row>
    <row r="123" spans="1:14">
      <c r="A123" s="4" t="s">
        <v>249</v>
      </c>
      <c r="B123" s="9" t="s">
        <v>250</v>
      </c>
      <c r="C123" s="9" t="s">
        <v>236</v>
      </c>
      <c r="D123" s="9"/>
      <c r="E123" s="9"/>
      <c r="F123" s="9"/>
      <c r="G123" s="10"/>
      <c r="H123" s="11"/>
      <c r="I123" s="11" t="s">
        <v>582</v>
      </c>
      <c r="J123" s="11" t="s">
        <v>579</v>
      </c>
      <c r="K123" s="11" t="s">
        <v>579</v>
      </c>
      <c r="L123" s="12"/>
      <c r="M123" s="12"/>
    </row>
    <row r="124" spans="1:14">
      <c r="A124" s="4" t="s">
        <v>251</v>
      </c>
      <c r="B124" s="9" t="s">
        <v>252</v>
      </c>
      <c r="C124" s="9" t="s">
        <v>236</v>
      </c>
      <c r="D124" s="9"/>
      <c r="E124" s="9">
        <v>1</v>
      </c>
      <c r="F124" s="9">
        <v>2</v>
      </c>
      <c r="G124" s="10">
        <v>1670920.8399999999</v>
      </c>
      <c r="H124" s="11" t="s">
        <v>586</v>
      </c>
      <c r="I124" s="11" t="s">
        <v>578</v>
      </c>
      <c r="J124" s="11" t="s">
        <v>579</v>
      </c>
      <c r="K124" s="11" t="s">
        <v>579</v>
      </c>
      <c r="L124" s="12"/>
      <c r="M124" s="12"/>
    </row>
    <row r="125" spans="1:14">
      <c r="A125" s="4" t="s">
        <v>253</v>
      </c>
      <c r="B125" s="9" t="s">
        <v>254</v>
      </c>
      <c r="C125" s="9" t="s">
        <v>236</v>
      </c>
      <c r="D125" s="9"/>
      <c r="E125" s="9">
        <v>4</v>
      </c>
      <c r="F125" s="9"/>
      <c r="G125" s="10"/>
      <c r="H125" s="11" t="s">
        <v>586</v>
      </c>
      <c r="I125" s="11" t="s">
        <v>578</v>
      </c>
      <c r="J125" s="11" t="s">
        <v>579</v>
      </c>
      <c r="K125" s="11" t="s">
        <v>579</v>
      </c>
      <c r="L125" s="12"/>
      <c r="M125" s="12"/>
    </row>
    <row r="126" spans="1:14">
      <c r="A126" s="4" t="s">
        <v>255</v>
      </c>
      <c r="B126" s="9" t="s">
        <v>256</v>
      </c>
      <c r="C126" s="9" t="s">
        <v>236</v>
      </c>
      <c r="D126" s="9" t="s">
        <v>590</v>
      </c>
      <c r="E126" s="9">
        <v>1</v>
      </c>
      <c r="F126" s="9">
        <v>3</v>
      </c>
      <c r="G126" s="10"/>
      <c r="H126" s="11"/>
      <c r="I126" s="11" t="s">
        <v>578</v>
      </c>
      <c r="J126" s="11" t="s">
        <v>579</v>
      </c>
      <c r="K126" s="11" t="s">
        <v>579</v>
      </c>
      <c r="L126" s="12">
        <v>200</v>
      </c>
      <c r="M126" s="12"/>
      <c r="N126" t="str">
        <f>IFERROR(VLOOKUP(A126,[1]Worksheet!A:B,2,FALSE),"")</f>
        <v>R$ 200,00</v>
      </c>
    </row>
    <row r="127" spans="1:14">
      <c r="A127" s="4" t="s">
        <v>257</v>
      </c>
      <c r="B127" s="9" t="s">
        <v>258</v>
      </c>
      <c r="C127" s="9" t="s">
        <v>236</v>
      </c>
      <c r="D127" s="9" t="s">
        <v>590</v>
      </c>
      <c r="E127" s="9"/>
      <c r="F127" s="9">
        <v>2</v>
      </c>
      <c r="G127" s="10"/>
      <c r="H127" s="11"/>
      <c r="I127" s="11" t="s">
        <v>578</v>
      </c>
      <c r="J127" s="11" t="s">
        <v>579</v>
      </c>
      <c r="K127" s="11" t="s">
        <v>579</v>
      </c>
      <c r="L127" s="12">
        <v>1216</v>
      </c>
      <c r="M127" s="12"/>
      <c r="N127" t="str">
        <f>IFERROR(VLOOKUP(A127,[1]Worksheet!A:B,2,FALSE),"")</f>
        <v>R$ 1.216,00</v>
      </c>
    </row>
    <row r="128" spans="1:14">
      <c r="A128" s="4" t="s">
        <v>259</v>
      </c>
      <c r="B128" s="9" t="s">
        <v>260</v>
      </c>
      <c r="C128" s="9" t="s">
        <v>236</v>
      </c>
      <c r="D128" s="9"/>
      <c r="E128" s="9">
        <v>1</v>
      </c>
      <c r="F128" s="9">
        <v>1</v>
      </c>
      <c r="G128" s="10"/>
      <c r="H128" s="11"/>
      <c r="I128" s="11" t="s">
        <v>578</v>
      </c>
      <c r="J128" s="11" t="s">
        <v>579</v>
      </c>
      <c r="K128" s="11" t="s">
        <v>579</v>
      </c>
      <c r="L128" s="12"/>
      <c r="M128" s="12"/>
    </row>
    <row r="129" spans="1:14">
      <c r="A129" s="4" t="s">
        <v>261</v>
      </c>
      <c r="B129" s="9" t="s">
        <v>262</v>
      </c>
      <c r="C129" s="9" t="s">
        <v>236</v>
      </c>
      <c r="D129" s="9" t="s">
        <v>591</v>
      </c>
      <c r="E129" s="9">
        <v>1</v>
      </c>
      <c r="F129" s="9">
        <v>1</v>
      </c>
      <c r="G129" s="10">
        <v>10075</v>
      </c>
      <c r="H129" s="11"/>
      <c r="I129" s="11" t="s">
        <v>578</v>
      </c>
      <c r="J129" s="11" t="s">
        <v>579</v>
      </c>
      <c r="K129" s="11" t="s">
        <v>579</v>
      </c>
      <c r="L129" s="12"/>
      <c r="M129" s="12"/>
    </row>
    <row r="130" spans="1:14">
      <c r="A130" s="4" t="s">
        <v>263</v>
      </c>
      <c r="B130" s="9" t="s">
        <v>264</v>
      </c>
      <c r="C130" s="9" t="s">
        <v>236</v>
      </c>
      <c r="D130" s="9" t="s">
        <v>591</v>
      </c>
      <c r="E130" s="9">
        <v>1</v>
      </c>
      <c r="F130" s="9"/>
      <c r="G130" s="10"/>
      <c r="H130" s="11" t="s">
        <v>586</v>
      </c>
      <c r="I130" s="11" t="s">
        <v>578</v>
      </c>
      <c r="J130" s="11" t="s">
        <v>579</v>
      </c>
      <c r="K130" s="11" t="s">
        <v>579</v>
      </c>
      <c r="L130" s="12"/>
      <c r="M130" s="12"/>
    </row>
    <row r="131" spans="1:14">
      <c r="A131" s="4" t="s">
        <v>265</v>
      </c>
      <c r="B131" s="9" t="s">
        <v>266</v>
      </c>
      <c r="C131" s="9" t="s">
        <v>236</v>
      </c>
      <c r="D131" s="9" t="s">
        <v>591</v>
      </c>
      <c r="E131" s="9">
        <v>1</v>
      </c>
      <c r="F131" s="9">
        <v>1</v>
      </c>
      <c r="G131" s="10">
        <v>385919.88</v>
      </c>
      <c r="H131" s="11" t="s">
        <v>586</v>
      </c>
      <c r="I131" s="11" t="s">
        <v>578</v>
      </c>
      <c r="J131" s="11" t="s">
        <v>579</v>
      </c>
      <c r="K131" s="11" t="s">
        <v>579</v>
      </c>
      <c r="L131" s="12">
        <v>1141</v>
      </c>
      <c r="M131" s="12"/>
    </row>
    <row r="132" spans="1:14">
      <c r="A132" s="4" t="s">
        <v>267</v>
      </c>
      <c r="B132" s="9" t="s">
        <v>268</v>
      </c>
      <c r="C132" s="9" t="s">
        <v>269</v>
      </c>
      <c r="D132" s="9"/>
      <c r="E132" s="9">
        <v>1</v>
      </c>
      <c r="F132" s="9">
        <v>1</v>
      </c>
      <c r="G132" s="10">
        <v>172243.67</v>
      </c>
      <c r="H132" s="11"/>
      <c r="I132" s="11" t="s">
        <v>578</v>
      </c>
      <c r="J132" s="11" t="s">
        <v>579</v>
      </c>
      <c r="K132" s="11" t="s">
        <v>579</v>
      </c>
      <c r="L132" s="12"/>
      <c r="M132" s="12"/>
    </row>
    <row r="133" spans="1:14">
      <c r="A133" s="4" t="s">
        <v>270</v>
      </c>
      <c r="B133" s="9" t="s">
        <v>271</v>
      </c>
      <c r="C133" s="9" t="s">
        <v>269</v>
      </c>
      <c r="D133" s="9" t="s">
        <v>591</v>
      </c>
      <c r="E133" s="9">
        <v>1</v>
      </c>
      <c r="F133" s="9">
        <v>1</v>
      </c>
      <c r="G133" s="10">
        <v>98941.250000000015</v>
      </c>
      <c r="H133" s="11"/>
      <c r="I133" s="11" t="s">
        <v>578</v>
      </c>
      <c r="J133" s="11" t="s">
        <v>579</v>
      </c>
      <c r="K133" s="11" t="s">
        <v>579</v>
      </c>
      <c r="L133" s="12">
        <v>834</v>
      </c>
      <c r="M133" s="12"/>
    </row>
    <row r="134" spans="1:14">
      <c r="A134" s="4" t="s">
        <v>272</v>
      </c>
      <c r="B134" s="9" t="s">
        <v>273</v>
      </c>
      <c r="C134" s="9" t="s">
        <v>269</v>
      </c>
      <c r="D134" s="9" t="s">
        <v>590</v>
      </c>
      <c r="E134" s="9">
        <v>1</v>
      </c>
      <c r="F134" s="9">
        <v>1</v>
      </c>
      <c r="G134" s="10">
        <v>135537.84999999998</v>
      </c>
      <c r="H134" s="11"/>
      <c r="I134" s="11" t="s">
        <v>578</v>
      </c>
      <c r="J134" s="11" t="s">
        <v>579</v>
      </c>
      <c r="K134" s="11" t="s">
        <v>579</v>
      </c>
      <c r="L134" s="12">
        <v>160</v>
      </c>
      <c r="M134" s="12"/>
      <c r="N134" t="str">
        <f>IFERROR(VLOOKUP(A134,[1]Worksheet!A:B,2,FALSE),"")</f>
        <v>R$ 160,00</v>
      </c>
    </row>
    <row r="135" spans="1:14">
      <c r="A135" s="4" t="s">
        <v>274</v>
      </c>
      <c r="B135" s="9" t="s">
        <v>275</v>
      </c>
      <c r="C135" s="9" t="s">
        <v>269</v>
      </c>
      <c r="D135" s="9" t="s">
        <v>591</v>
      </c>
      <c r="E135" s="9">
        <v>1</v>
      </c>
      <c r="F135" s="9">
        <v>2</v>
      </c>
      <c r="G135" s="10">
        <v>353756.55</v>
      </c>
      <c r="H135" s="11" t="s">
        <v>586</v>
      </c>
      <c r="I135" s="11" t="s">
        <v>578</v>
      </c>
      <c r="J135" s="11" t="s">
        <v>579</v>
      </c>
      <c r="K135" s="11" t="s">
        <v>579</v>
      </c>
      <c r="L135" s="12">
        <v>647</v>
      </c>
      <c r="M135" s="12"/>
    </row>
    <row r="136" spans="1:14">
      <c r="A136" s="4" t="s">
        <v>276</v>
      </c>
      <c r="B136" s="9" t="s">
        <v>277</v>
      </c>
      <c r="C136" s="9" t="s">
        <v>269</v>
      </c>
      <c r="D136" s="9" t="s">
        <v>591</v>
      </c>
      <c r="E136" s="9">
        <v>1</v>
      </c>
      <c r="F136" s="9">
        <v>1</v>
      </c>
      <c r="G136" s="10">
        <v>17613.18</v>
      </c>
      <c r="H136" s="11"/>
      <c r="I136" s="11" t="s">
        <v>578</v>
      </c>
      <c r="J136" s="11" t="s">
        <v>579</v>
      </c>
      <c r="K136" s="11" t="s">
        <v>579</v>
      </c>
      <c r="L136" s="12"/>
      <c r="M136" s="12"/>
    </row>
    <row r="137" spans="1:14">
      <c r="A137" s="4" t="s">
        <v>278</v>
      </c>
      <c r="B137" s="9" t="s">
        <v>279</v>
      </c>
      <c r="C137" s="9" t="s">
        <v>269</v>
      </c>
      <c r="D137" s="9" t="s">
        <v>590</v>
      </c>
      <c r="E137" s="9">
        <v>1</v>
      </c>
      <c r="F137" s="9">
        <v>1</v>
      </c>
      <c r="G137" s="10">
        <v>209750</v>
      </c>
      <c r="H137" s="11"/>
      <c r="I137" s="11" t="s">
        <v>578</v>
      </c>
      <c r="J137" s="11" t="s">
        <v>579</v>
      </c>
      <c r="K137" s="11" t="s">
        <v>579</v>
      </c>
      <c r="L137" s="12"/>
      <c r="M137" s="12"/>
      <c r="N137" t="str">
        <f>IFERROR(VLOOKUP(A137,[1]Worksheet!A:B,2,FALSE),"")</f>
        <v/>
      </c>
    </row>
    <row r="138" spans="1:14">
      <c r="A138" s="4" t="s">
        <v>280</v>
      </c>
      <c r="B138" s="9" t="s">
        <v>281</v>
      </c>
      <c r="C138" s="9" t="s">
        <v>269</v>
      </c>
      <c r="D138" s="9" t="s">
        <v>591</v>
      </c>
      <c r="E138" s="9">
        <v>1</v>
      </c>
      <c r="F138" s="9">
        <v>3</v>
      </c>
      <c r="G138" s="10">
        <v>435579.82999999996</v>
      </c>
      <c r="H138" s="11" t="s">
        <v>586</v>
      </c>
      <c r="I138" s="11" t="s">
        <v>578</v>
      </c>
      <c r="J138" s="11" t="s">
        <v>579</v>
      </c>
      <c r="K138" s="11" t="s">
        <v>579</v>
      </c>
      <c r="L138" s="12"/>
      <c r="M138" s="12"/>
    </row>
    <row r="139" spans="1:14">
      <c r="A139" s="4" t="s">
        <v>282</v>
      </c>
      <c r="B139" s="9" t="s">
        <v>283</v>
      </c>
      <c r="C139" s="9" t="s">
        <v>269</v>
      </c>
      <c r="D139" s="9" t="s">
        <v>590</v>
      </c>
      <c r="E139" s="9">
        <v>1</v>
      </c>
      <c r="F139" s="9">
        <v>2</v>
      </c>
      <c r="G139" s="10">
        <v>248000.66999999998</v>
      </c>
      <c r="H139" s="11" t="s">
        <v>586</v>
      </c>
      <c r="I139" s="11" t="s">
        <v>578</v>
      </c>
      <c r="J139" s="11" t="s">
        <v>579</v>
      </c>
      <c r="K139" s="11" t="s">
        <v>579</v>
      </c>
      <c r="L139" s="12"/>
      <c r="M139" s="12"/>
      <c r="N139" t="str">
        <f>IFERROR(VLOOKUP(A139,[1]Worksheet!A:B,2,FALSE),"")</f>
        <v/>
      </c>
    </row>
    <row r="140" spans="1:14">
      <c r="A140" s="4" t="s">
        <v>284</v>
      </c>
      <c r="B140" s="9" t="s">
        <v>285</v>
      </c>
      <c r="C140" s="9" t="s">
        <v>269</v>
      </c>
      <c r="D140" s="9" t="s">
        <v>591</v>
      </c>
      <c r="E140" s="9">
        <v>1</v>
      </c>
      <c r="F140" s="9">
        <v>4</v>
      </c>
      <c r="G140" s="10">
        <v>497579.64</v>
      </c>
      <c r="H140" s="11" t="s">
        <v>586</v>
      </c>
      <c r="I140" s="11" t="s">
        <v>582</v>
      </c>
      <c r="J140" s="11" t="s">
        <v>579</v>
      </c>
      <c r="K140" s="11" t="s">
        <v>581</v>
      </c>
      <c r="L140" s="12"/>
      <c r="M140" s="12"/>
    </row>
    <row r="141" spans="1:14">
      <c r="A141" s="4" t="s">
        <v>286</v>
      </c>
      <c r="B141" s="9" t="s">
        <v>287</v>
      </c>
      <c r="C141" s="9" t="s">
        <v>269</v>
      </c>
      <c r="D141" s="9" t="s">
        <v>591</v>
      </c>
      <c r="E141" s="9">
        <v>1</v>
      </c>
      <c r="F141" s="9">
        <v>1</v>
      </c>
      <c r="G141" s="10">
        <v>171219.5</v>
      </c>
      <c r="H141" s="11"/>
      <c r="I141" s="11" t="s">
        <v>578</v>
      </c>
      <c r="J141" s="11" t="s">
        <v>579</v>
      </c>
      <c r="K141" s="11" t="s">
        <v>579</v>
      </c>
      <c r="L141" s="12"/>
      <c r="M141" s="12"/>
    </row>
    <row r="142" spans="1:14">
      <c r="A142" s="16" t="s">
        <v>288</v>
      </c>
      <c r="B142" s="17" t="s">
        <v>289</v>
      </c>
      <c r="C142" s="17" t="s">
        <v>269</v>
      </c>
      <c r="D142" s="17" t="s">
        <v>590</v>
      </c>
      <c r="E142" s="17">
        <v>1</v>
      </c>
      <c r="F142" s="17">
        <v>1</v>
      </c>
      <c r="G142" s="18">
        <v>314850.03999999998</v>
      </c>
      <c r="H142" s="19"/>
      <c r="I142" s="19" t="s">
        <v>578</v>
      </c>
      <c r="J142" s="19" t="s">
        <v>579</v>
      </c>
      <c r="K142" s="19" t="s">
        <v>579</v>
      </c>
      <c r="L142" s="22">
        <v>440</v>
      </c>
      <c r="M142" s="22">
        <v>480</v>
      </c>
      <c r="N142" t="str">
        <f>IFERROR(VLOOKUP(A142,[1]Worksheet!A:B,2,FALSE),"")</f>
        <v>R$ 440,00</v>
      </c>
    </row>
    <row r="143" spans="1:14">
      <c r="A143" s="4" t="s">
        <v>290</v>
      </c>
      <c r="B143" s="9" t="s">
        <v>291</v>
      </c>
      <c r="C143" s="9" t="s">
        <v>269</v>
      </c>
      <c r="D143" s="9" t="s">
        <v>590</v>
      </c>
      <c r="E143" s="9">
        <v>1</v>
      </c>
      <c r="F143" s="9">
        <v>1</v>
      </c>
      <c r="G143" s="10">
        <v>224550</v>
      </c>
      <c r="H143" s="11"/>
      <c r="I143" s="11" t="s">
        <v>578</v>
      </c>
      <c r="J143" s="11" t="s">
        <v>579</v>
      </c>
      <c r="K143" s="11" t="s">
        <v>579</v>
      </c>
      <c r="L143" s="12">
        <v>457</v>
      </c>
      <c r="M143" s="12"/>
      <c r="N143" t="str">
        <f>IFERROR(VLOOKUP(A143,[1]Worksheet!A:B,2,FALSE),"")</f>
        <v>R$ 457,00</v>
      </c>
    </row>
    <row r="144" spans="1:14">
      <c r="A144" s="4" t="s">
        <v>292</v>
      </c>
      <c r="B144" s="9" t="s">
        <v>293</v>
      </c>
      <c r="C144" s="9" t="s">
        <v>269</v>
      </c>
      <c r="D144" s="9" t="s">
        <v>591</v>
      </c>
      <c r="E144" s="9">
        <v>1</v>
      </c>
      <c r="F144" s="9">
        <v>1</v>
      </c>
      <c r="G144" s="10"/>
      <c r="H144" s="11"/>
      <c r="I144" s="11" t="s">
        <v>578</v>
      </c>
      <c r="J144" s="11" t="s">
        <v>579</v>
      </c>
      <c r="K144" s="11" t="s">
        <v>579</v>
      </c>
      <c r="L144" s="12"/>
      <c r="M144" s="12"/>
    </row>
    <row r="145" spans="1:14">
      <c r="A145" s="4" t="s">
        <v>294</v>
      </c>
      <c r="B145" s="9" t="s">
        <v>295</v>
      </c>
      <c r="C145" s="9" t="s">
        <v>269</v>
      </c>
      <c r="D145" s="9" t="s">
        <v>591</v>
      </c>
      <c r="E145" s="9">
        <v>1</v>
      </c>
      <c r="F145" s="9">
        <v>1</v>
      </c>
      <c r="G145" s="10">
        <v>189600</v>
      </c>
      <c r="H145" s="11"/>
      <c r="I145" s="11" t="s">
        <v>578</v>
      </c>
      <c r="J145" s="11" t="s">
        <v>579</v>
      </c>
      <c r="K145" s="11" t="s">
        <v>579</v>
      </c>
      <c r="L145" s="12"/>
      <c r="M145" s="12"/>
    </row>
    <row r="146" spans="1:14">
      <c r="A146" s="4" t="s">
        <v>296</v>
      </c>
      <c r="B146" s="9" t="s">
        <v>297</v>
      </c>
      <c r="C146" s="9" t="s">
        <v>269</v>
      </c>
      <c r="D146" s="9" t="s">
        <v>593</v>
      </c>
      <c r="E146" s="9">
        <v>1</v>
      </c>
      <c r="F146" s="9">
        <v>2</v>
      </c>
      <c r="G146" s="10">
        <v>1044580.7500000001</v>
      </c>
      <c r="H146" s="11"/>
      <c r="I146" s="11" t="s">
        <v>578</v>
      </c>
      <c r="J146" s="11" t="s">
        <v>579</v>
      </c>
      <c r="K146" s="11" t="s">
        <v>579</v>
      </c>
      <c r="L146" s="12">
        <v>213</v>
      </c>
      <c r="M146" s="12"/>
    </row>
    <row r="147" spans="1:14">
      <c r="A147" s="4" t="s">
        <v>298</v>
      </c>
      <c r="B147" s="9" t="s">
        <v>299</v>
      </c>
      <c r="C147" s="9" t="s">
        <v>269</v>
      </c>
      <c r="D147" s="9" t="s">
        <v>593</v>
      </c>
      <c r="E147" s="9">
        <v>1</v>
      </c>
      <c r="F147" s="9">
        <v>1</v>
      </c>
      <c r="G147" s="10">
        <v>160833.51</v>
      </c>
      <c r="H147" s="11"/>
      <c r="I147" s="11" t="s">
        <v>578</v>
      </c>
      <c r="J147" s="11" t="s">
        <v>579</v>
      </c>
      <c r="K147" s="11" t="s">
        <v>579</v>
      </c>
      <c r="L147" s="12"/>
      <c r="M147" s="12"/>
    </row>
    <row r="148" spans="1:14">
      <c r="A148" s="4" t="s">
        <v>300</v>
      </c>
      <c r="B148" s="9" t="s">
        <v>301</v>
      </c>
      <c r="C148" s="9" t="s">
        <v>269</v>
      </c>
      <c r="D148" s="9" t="s">
        <v>591</v>
      </c>
      <c r="E148" s="9">
        <v>1</v>
      </c>
      <c r="F148" s="9">
        <v>1</v>
      </c>
      <c r="G148" s="10">
        <v>40101.65</v>
      </c>
      <c r="H148" s="11"/>
      <c r="I148" s="11" t="s">
        <v>578</v>
      </c>
      <c r="J148" s="11" t="s">
        <v>579</v>
      </c>
      <c r="K148" s="11" t="s">
        <v>579</v>
      </c>
      <c r="L148" s="12"/>
      <c r="M148" s="12"/>
    </row>
    <row r="149" spans="1:14">
      <c r="A149" s="4" t="s">
        <v>302</v>
      </c>
      <c r="B149" s="9" t="s">
        <v>303</v>
      </c>
      <c r="C149" s="9" t="s">
        <v>269</v>
      </c>
      <c r="D149" s="9" t="s">
        <v>591</v>
      </c>
      <c r="E149" s="9">
        <v>1</v>
      </c>
      <c r="F149" s="9">
        <v>1</v>
      </c>
      <c r="G149" s="10">
        <v>405764.24</v>
      </c>
      <c r="H149" s="11"/>
      <c r="I149" s="11" t="s">
        <v>578</v>
      </c>
      <c r="J149" s="11" t="s">
        <v>579</v>
      </c>
      <c r="K149" s="11" t="s">
        <v>579</v>
      </c>
      <c r="L149" s="12">
        <v>673</v>
      </c>
      <c r="M149" s="12"/>
    </row>
    <row r="150" spans="1:14">
      <c r="A150" s="4" t="s">
        <v>304</v>
      </c>
      <c r="B150" s="9" t="s">
        <v>305</v>
      </c>
      <c r="C150" s="9" t="s">
        <v>269</v>
      </c>
      <c r="D150" s="9" t="s">
        <v>591</v>
      </c>
      <c r="E150" s="9"/>
      <c r="F150" s="9">
        <v>1</v>
      </c>
      <c r="G150" s="10"/>
      <c r="H150" s="11"/>
      <c r="I150" s="11" t="s">
        <v>578</v>
      </c>
      <c r="J150" s="11" t="s">
        <v>579</v>
      </c>
      <c r="K150" s="11" t="s">
        <v>579</v>
      </c>
      <c r="L150" s="12"/>
      <c r="M150" s="12"/>
    </row>
    <row r="151" spans="1:14">
      <c r="A151" s="4" t="s">
        <v>306</v>
      </c>
      <c r="B151" s="9" t="s">
        <v>307</v>
      </c>
      <c r="C151" s="9" t="s">
        <v>269</v>
      </c>
      <c r="D151" s="9" t="s">
        <v>590</v>
      </c>
      <c r="E151" s="9">
        <v>1</v>
      </c>
      <c r="F151" s="9">
        <v>2</v>
      </c>
      <c r="G151" s="10">
        <v>126200.66</v>
      </c>
      <c r="H151" s="11">
        <v>1</v>
      </c>
      <c r="I151" s="11" t="s">
        <v>578</v>
      </c>
      <c r="J151" s="11" t="s">
        <v>579</v>
      </c>
      <c r="K151" s="11" t="s">
        <v>579</v>
      </c>
      <c r="L151" s="12">
        <v>599</v>
      </c>
      <c r="M151" s="12"/>
      <c r="N151" t="str">
        <f>IFERROR(VLOOKUP(A151,[1]Worksheet!A:B,2,FALSE),"")</f>
        <v>R$ 599,00</v>
      </c>
    </row>
    <row r="152" spans="1:14">
      <c r="A152" s="4" t="s">
        <v>308</v>
      </c>
      <c r="B152" s="9" t="s">
        <v>309</v>
      </c>
      <c r="C152" s="9" t="s">
        <v>269</v>
      </c>
      <c r="D152" s="9" t="s">
        <v>593</v>
      </c>
      <c r="E152" s="9">
        <v>1</v>
      </c>
      <c r="F152" s="9">
        <v>1</v>
      </c>
      <c r="G152" s="10">
        <v>4358.6000000000004</v>
      </c>
      <c r="H152" s="11"/>
      <c r="I152" s="11" t="s">
        <v>578</v>
      </c>
      <c r="J152" s="11" t="s">
        <v>579</v>
      </c>
      <c r="K152" s="11" t="s">
        <v>579</v>
      </c>
      <c r="L152" s="12"/>
      <c r="M152" s="12"/>
    </row>
    <row r="153" spans="1:14">
      <c r="A153" s="4" t="s">
        <v>310</v>
      </c>
      <c r="B153" s="9" t="s">
        <v>311</v>
      </c>
      <c r="C153" s="9" t="s">
        <v>269</v>
      </c>
      <c r="D153" s="9" t="s">
        <v>590</v>
      </c>
      <c r="E153" s="9">
        <v>1</v>
      </c>
      <c r="F153" s="9">
        <v>2</v>
      </c>
      <c r="G153" s="10">
        <v>219780.86</v>
      </c>
      <c r="H153" s="11">
        <v>1</v>
      </c>
      <c r="I153" s="11" t="s">
        <v>578</v>
      </c>
      <c r="J153" s="11" t="s">
        <v>579</v>
      </c>
      <c r="K153" s="11" t="s">
        <v>579</v>
      </c>
      <c r="L153" s="12"/>
      <c r="M153" s="12"/>
      <c r="N153" t="str">
        <f>IFERROR(VLOOKUP(A153,[1]Worksheet!A:B,2,FALSE),"")</f>
        <v/>
      </c>
    </row>
    <row r="154" spans="1:14">
      <c r="A154" s="4" t="s">
        <v>312</v>
      </c>
      <c r="B154" s="9" t="s">
        <v>313</v>
      </c>
      <c r="C154" s="9" t="s">
        <v>269</v>
      </c>
      <c r="D154" s="9" t="s">
        <v>590</v>
      </c>
      <c r="E154" s="9">
        <v>1</v>
      </c>
      <c r="F154" s="9">
        <v>1</v>
      </c>
      <c r="G154" s="10">
        <v>293617.66000000003</v>
      </c>
      <c r="H154" s="11"/>
      <c r="I154" s="11" t="s">
        <v>578</v>
      </c>
      <c r="J154" s="11" t="s">
        <v>579</v>
      </c>
      <c r="K154" s="11" t="s">
        <v>579</v>
      </c>
      <c r="L154" s="12"/>
      <c r="M154" s="12"/>
      <c r="N154" t="str">
        <f>IFERROR(VLOOKUP(A154,[1]Worksheet!A:B,2,FALSE),"")</f>
        <v/>
      </c>
    </row>
    <row r="155" spans="1:14">
      <c r="A155" s="4" t="s">
        <v>314</v>
      </c>
      <c r="B155" s="9" t="s">
        <v>315</v>
      </c>
      <c r="C155" s="9" t="s">
        <v>269</v>
      </c>
      <c r="D155" s="9" t="s">
        <v>590</v>
      </c>
      <c r="E155" s="9">
        <v>1</v>
      </c>
      <c r="F155" s="9">
        <v>2</v>
      </c>
      <c r="G155" s="10">
        <v>121806.07999999999</v>
      </c>
      <c r="H155" s="11"/>
      <c r="I155" s="11" t="s">
        <v>578</v>
      </c>
      <c r="J155" s="11" t="s">
        <v>579</v>
      </c>
      <c r="K155" s="11" t="s">
        <v>579</v>
      </c>
      <c r="L155" s="12"/>
      <c r="M155" s="12"/>
      <c r="N155" t="str">
        <f>IFERROR(VLOOKUP(A155,[1]Worksheet!A:B,2,FALSE),"")</f>
        <v/>
      </c>
    </row>
    <row r="156" spans="1:14">
      <c r="A156" s="16" t="s">
        <v>316</v>
      </c>
      <c r="B156" s="17" t="s">
        <v>317</v>
      </c>
      <c r="C156" s="17" t="s">
        <v>269</v>
      </c>
      <c r="D156" s="17" t="s">
        <v>590</v>
      </c>
      <c r="E156" s="17">
        <v>1</v>
      </c>
      <c r="F156" s="17">
        <v>2</v>
      </c>
      <c r="G156" s="18">
        <v>436639.83999999997</v>
      </c>
      <c r="H156" s="19">
        <v>1</v>
      </c>
      <c r="I156" s="19" t="s">
        <v>578</v>
      </c>
      <c r="J156" s="19" t="s">
        <v>579</v>
      </c>
      <c r="K156" s="19" t="s">
        <v>579</v>
      </c>
      <c r="L156" s="22">
        <v>874</v>
      </c>
      <c r="M156" s="22">
        <v>540</v>
      </c>
      <c r="N156" t="str">
        <f>IFERROR(VLOOKUP(A156,[1]Worksheet!A:B,2,FALSE),"")</f>
        <v>R$ 874,00</v>
      </c>
    </row>
    <row r="157" spans="1:14">
      <c r="A157" s="4" t="s">
        <v>318</v>
      </c>
      <c r="B157" s="9" t="s">
        <v>319</v>
      </c>
      <c r="C157" s="9" t="s">
        <v>269</v>
      </c>
      <c r="D157" s="9" t="s">
        <v>590</v>
      </c>
      <c r="E157" s="9">
        <v>1</v>
      </c>
      <c r="F157" s="9">
        <v>1</v>
      </c>
      <c r="G157" s="10">
        <v>426489.31999999995</v>
      </c>
      <c r="H157" s="11" t="s">
        <v>586</v>
      </c>
      <c r="I157" s="11" t="s">
        <v>578</v>
      </c>
      <c r="J157" s="11" t="s">
        <v>579</v>
      </c>
      <c r="K157" s="11" t="s">
        <v>579</v>
      </c>
      <c r="L157" s="12">
        <v>1807</v>
      </c>
      <c r="M157" s="12"/>
      <c r="N157" t="str">
        <f>IFERROR(VLOOKUP(A157,[1]Worksheet!A:B,2,FALSE),"")</f>
        <v>R$ 1.807,00</v>
      </c>
    </row>
    <row r="158" spans="1:14">
      <c r="A158" s="4" t="s">
        <v>320</v>
      </c>
      <c r="B158" s="9" t="s">
        <v>321</v>
      </c>
      <c r="C158" s="9" t="s">
        <v>269</v>
      </c>
      <c r="D158" s="9" t="s">
        <v>590</v>
      </c>
      <c r="E158" s="9">
        <v>1</v>
      </c>
      <c r="F158" s="9">
        <v>1</v>
      </c>
      <c r="G158" s="10">
        <v>236410</v>
      </c>
      <c r="H158" s="11">
        <v>1</v>
      </c>
      <c r="I158" s="11" t="s">
        <v>578</v>
      </c>
      <c r="J158" s="11" t="s">
        <v>579</v>
      </c>
      <c r="K158" s="11" t="s">
        <v>579</v>
      </c>
      <c r="L158" s="12"/>
      <c r="M158" s="12"/>
      <c r="N158" t="str">
        <f>IFERROR(VLOOKUP(A158,[1]Worksheet!A:B,2,FALSE),"")</f>
        <v/>
      </c>
    </row>
    <row r="159" spans="1:14">
      <c r="A159" s="4" t="s">
        <v>322</v>
      </c>
      <c r="B159" s="9" t="s">
        <v>323</v>
      </c>
      <c r="C159" s="9" t="s">
        <v>269</v>
      </c>
      <c r="D159" s="9" t="s">
        <v>590</v>
      </c>
      <c r="E159" s="9">
        <v>1</v>
      </c>
      <c r="F159" s="9">
        <v>1</v>
      </c>
      <c r="G159" s="10">
        <v>551433.89</v>
      </c>
      <c r="H159" s="11"/>
      <c r="I159" s="11" t="s">
        <v>578</v>
      </c>
      <c r="J159" s="11" t="s">
        <v>579</v>
      </c>
      <c r="K159" s="11" t="s">
        <v>579</v>
      </c>
      <c r="L159" s="12">
        <v>1470</v>
      </c>
      <c r="M159" s="12"/>
      <c r="N159" t="str">
        <f>IFERROR(VLOOKUP(A159,[1]Worksheet!A:B,2,FALSE),"")</f>
        <v>R$ 1.470,00</v>
      </c>
    </row>
    <row r="160" spans="1:14">
      <c r="A160" s="4" t="s">
        <v>324</v>
      </c>
      <c r="B160" s="9" t="s">
        <v>325</v>
      </c>
      <c r="C160" s="9" t="s">
        <v>269</v>
      </c>
      <c r="D160" s="9" t="s">
        <v>590</v>
      </c>
      <c r="E160" s="9">
        <v>1</v>
      </c>
      <c r="F160" s="9">
        <v>1</v>
      </c>
      <c r="G160" s="10"/>
      <c r="H160" s="11" t="s">
        <v>586</v>
      </c>
      <c r="I160" s="11" t="s">
        <v>582</v>
      </c>
      <c r="J160" s="11" t="s">
        <v>579</v>
      </c>
      <c r="K160" s="11" t="s">
        <v>583</v>
      </c>
      <c r="L160" s="12">
        <v>690</v>
      </c>
      <c r="M160" s="12"/>
      <c r="N160" t="str">
        <f>IFERROR(VLOOKUP(A160,[1]Worksheet!A:B,2,FALSE),"")</f>
        <v>R$ 690,00</v>
      </c>
    </row>
    <row r="161" spans="1:14">
      <c r="A161" s="4" t="s">
        <v>326</v>
      </c>
      <c r="B161" s="9" t="s">
        <v>327</v>
      </c>
      <c r="C161" s="9" t="s">
        <v>269</v>
      </c>
      <c r="D161" s="9" t="s">
        <v>590</v>
      </c>
      <c r="E161" s="9">
        <v>1</v>
      </c>
      <c r="F161" s="9">
        <v>2</v>
      </c>
      <c r="G161" s="10">
        <v>220131.18</v>
      </c>
      <c r="H161" s="11">
        <v>1</v>
      </c>
      <c r="I161" s="11" t="s">
        <v>578</v>
      </c>
      <c r="J161" s="11" t="s">
        <v>579</v>
      </c>
      <c r="K161" s="11" t="s">
        <v>579</v>
      </c>
      <c r="L161" s="12">
        <v>733</v>
      </c>
      <c r="M161" s="12"/>
      <c r="N161" t="str">
        <f>IFERROR(VLOOKUP(A161,[1]Worksheet!A:B,2,FALSE),"")</f>
        <v>R$ 733,00</v>
      </c>
    </row>
    <row r="162" spans="1:14">
      <c r="A162" s="4" t="s">
        <v>328</v>
      </c>
      <c r="B162" s="9" t="s">
        <v>329</v>
      </c>
      <c r="C162" s="9" t="s">
        <v>269</v>
      </c>
      <c r="D162" s="9" t="s">
        <v>590</v>
      </c>
      <c r="E162" s="9">
        <v>1</v>
      </c>
      <c r="F162" s="9">
        <v>2</v>
      </c>
      <c r="G162" s="10">
        <v>26622.910000000003</v>
      </c>
      <c r="H162" s="11"/>
      <c r="I162" s="11" t="s">
        <v>578</v>
      </c>
      <c r="J162" s="11" t="s">
        <v>579</v>
      </c>
      <c r="K162" s="11" t="s">
        <v>579</v>
      </c>
      <c r="L162" s="12"/>
      <c r="M162" s="12"/>
      <c r="N162" t="str">
        <f>IFERROR(VLOOKUP(A162,[1]Worksheet!A:B,2,FALSE),"")</f>
        <v/>
      </c>
    </row>
    <row r="163" spans="1:14">
      <c r="A163" s="16" t="s">
        <v>330</v>
      </c>
      <c r="B163" s="17" t="s">
        <v>331</v>
      </c>
      <c r="C163" s="17" t="s">
        <v>269</v>
      </c>
      <c r="D163" s="17" t="s">
        <v>593</v>
      </c>
      <c r="E163" s="17">
        <v>1</v>
      </c>
      <c r="F163" s="17">
        <v>3</v>
      </c>
      <c r="G163" s="18">
        <v>1992933.99</v>
      </c>
      <c r="H163" s="19">
        <v>8</v>
      </c>
      <c r="I163" s="19" t="s">
        <v>578</v>
      </c>
      <c r="J163" s="19" t="s">
        <v>579</v>
      </c>
      <c r="K163" s="19" t="s">
        <v>581</v>
      </c>
      <c r="L163" s="22">
        <v>1089</v>
      </c>
      <c r="M163" s="22">
        <v>2040</v>
      </c>
    </row>
    <row r="164" spans="1:14">
      <c r="A164" s="16" t="s">
        <v>332</v>
      </c>
      <c r="B164" s="17" t="s">
        <v>333</v>
      </c>
      <c r="C164" s="17" t="s">
        <v>269</v>
      </c>
      <c r="D164" s="17" t="s">
        <v>593</v>
      </c>
      <c r="E164" s="17">
        <v>1</v>
      </c>
      <c r="F164" s="17">
        <v>2</v>
      </c>
      <c r="G164" s="18">
        <v>2106385.8699999996</v>
      </c>
      <c r="H164" s="19">
        <v>5</v>
      </c>
      <c r="I164" s="19" t="s">
        <v>578</v>
      </c>
      <c r="J164" s="19" t="s">
        <v>579</v>
      </c>
      <c r="K164" s="19" t="s">
        <v>579</v>
      </c>
      <c r="L164" s="22">
        <v>1562</v>
      </c>
      <c r="M164" s="22">
        <v>2950</v>
      </c>
    </row>
    <row r="165" spans="1:14">
      <c r="A165" s="4" t="s">
        <v>334</v>
      </c>
      <c r="B165" s="9" t="s">
        <v>335</v>
      </c>
      <c r="C165" s="9" t="s">
        <v>269</v>
      </c>
      <c r="D165" s="9" t="s">
        <v>593</v>
      </c>
      <c r="E165" s="9">
        <v>1</v>
      </c>
      <c r="F165" s="9">
        <v>2</v>
      </c>
      <c r="G165" s="10">
        <v>1064906.3399999999</v>
      </c>
      <c r="H165" s="11" t="s">
        <v>586</v>
      </c>
      <c r="I165" s="11" t="s">
        <v>578</v>
      </c>
      <c r="J165" s="11" t="s">
        <v>579</v>
      </c>
      <c r="K165" s="11" t="s">
        <v>579</v>
      </c>
      <c r="L165" s="12"/>
      <c r="M165" s="12"/>
    </row>
    <row r="166" spans="1:14">
      <c r="A166" s="16" t="s">
        <v>336</v>
      </c>
      <c r="B166" s="17" t="s">
        <v>337</v>
      </c>
      <c r="C166" s="17" t="s">
        <v>269</v>
      </c>
      <c r="D166" s="17" t="s">
        <v>590</v>
      </c>
      <c r="E166" s="17">
        <v>2</v>
      </c>
      <c r="F166" s="17">
        <v>1</v>
      </c>
      <c r="G166" s="18">
        <v>857228.82000000007</v>
      </c>
      <c r="H166" s="19">
        <v>6</v>
      </c>
      <c r="I166" s="19" t="s">
        <v>578</v>
      </c>
      <c r="J166" s="19" t="s">
        <v>579</v>
      </c>
      <c r="K166" s="19" t="s">
        <v>579</v>
      </c>
      <c r="L166" s="22">
        <v>2175</v>
      </c>
      <c r="M166" s="22">
        <v>1130</v>
      </c>
      <c r="N166" t="str">
        <f>IFERROR(VLOOKUP(A166,[1]Worksheet!A:B,2,FALSE),"")</f>
        <v>R$ 2.175,00</v>
      </c>
    </row>
    <row r="167" spans="1:14">
      <c r="A167" s="4" t="s">
        <v>338</v>
      </c>
      <c r="B167" s="9" t="s">
        <v>339</v>
      </c>
      <c r="C167" s="9" t="s">
        <v>269</v>
      </c>
      <c r="D167" s="9" t="s">
        <v>591</v>
      </c>
      <c r="E167" s="9">
        <v>1</v>
      </c>
      <c r="F167" s="9">
        <v>1</v>
      </c>
      <c r="G167" s="10">
        <v>169770.85</v>
      </c>
      <c r="H167" s="11" t="s">
        <v>586</v>
      </c>
      <c r="I167" s="11" t="s">
        <v>578</v>
      </c>
      <c r="J167" s="11" t="s">
        <v>579</v>
      </c>
      <c r="K167" s="11" t="s">
        <v>579</v>
      </c>
      <c r="L167" s="12">
        <v>440</v>
      </c>
      <c r="M167" s="12"/>
    </row>
    <row r="168" spans="1:14">
      <c r="A168" s="4" t="s">
        <v>340</v>
      </c>
      <c r="B168" s="9" t="s">
        <v>341</v>
      </c>
      <c r="C168" s="9" t="s">
        <v>269</v>
      </c>
      <c r="D168" s="9" t="s">
        <v>590</v>
      </c>
      <c r="E168" s="9">
        <v>1</v>
      </c>
      <c r="F168" s="9">
        <v>1</v>
      </c>
      <c r="G168" s="10">
        <v>45553.2</v>
      </c>
      <c r="H168" s="11"/>
      <c r="I168" s="11" t="s">
        <v>578</v>
      </c>
      <c r="J168" s="11" t="s">
        <v>579</v>
      </c>
      <c r="K168" s="11" t="s">
        <v>579</v>
      </c>
      <c r="L168" s="12">
        <v>425</v>
      </c>
      <c r="M168" s="12"/>
      <c r="N168" t="str">
        <f>IFERROR(VLOOKUP(A168,[1]Worksheet!A:B,2,FALSE),"")</f>
        <v>R$ 425,00</v>
      </c>
    </row>
    <row r="169" spans="1:14">
      <c r="A169" s="4" t="s">
        <v>342</v>
      </c>
      <c r="B169" s="9" t="s">
        <v>343</v>
      </c>
      <c r="C169" s="9" t="s">
        <v>269</v>
      </c>
      <c r="D169" s="9" t="s">
        <v>590</v>
      </c>
      <c r="E169" s="9">
        <v>1</v>
      </c>
      <c r="F169" s="9">
        <v>1</v>
      </c>
      <c r="G169" s="10">
        <v>87885</v>
      </c>
      <c r="H169" s="11"/>
      <c r="I169" s="11" t="s">
        <v>578</v>
      </c>
      <c r="J169" s="11" t="s">
        <v>579</v>
      </c>
      <c r="K169" s="11" t="s">
        <v>579</v>
      </c>
      <c r="L169" s="12">
        <v>425</v>
      </c>
      <c r="M169" s="12"/>
      <c r="N169" t="str">
        <f>IFERROR(VLOOKUP(A169,[1]Worksheet!A:B,2,FALSE),"")</f>
        <v>R$ 425,00</v>
      </c>
    </row>
    <row r="170" spans="1:14">
      <c r="A170" s="4" t="s">
        <v>344</v>
      </c>
      <c r="B170" s="9" t="s">
        <v>345</v>
      </c>
      <c r="C170" s="9" t="s">
        <v>269</v>
      </c>
      <c r="D170" s="9" t="s">
        <v>593</v>
      </c>
      <c r="E170" s="9">
        <v>1</v>
      </c>
      <c r="F170" s="9">
        <v>1</v>
      </c>
      <c r="G170" s="10">
        <v>1122111.6299999999</v>
      </c>
      <c r="H170" s="11" t="s">
        <v>586</v>
      </c>
      <c r="I170" s="11" t="s">
        <v>578</v>
      </c>
      <c r="J170" s="11" t="s">
        <v>579</v>
      </c>
      <c r="K170" s="11" t="s">
        <v>581</v>
      </c>
      <c r="L170" s="12"/>
      <c r="M170" s="12"/>
    </row>
    <row r="171" spans="1:14">
      <c r="A171" s="4" t="s">
        <v>346</v>
      </c>
      <c r="B171" s="9" t="s">
        <v>347</v>
      </c>
      <c r="C171" s="9" t="s">
        <v>269</v>
      </c>
      <c r="D171" s="9" t="s">
        <v>591</v>
      </c>
      <c r="E171" s="9">
        <v>1</v>
      </c>
      <c r="F171" s="9">
        <v>2</v>
      </c>
      <c r="G171" s="10">
        <v>270409.11</v>
      </c>
      <c r="H171" s="11"/>
      <c r="I171" s="11" t="s">
        <v>578</v>
      </c>
      <c r="J171" s="11" t="s">
        <v>579</v>
      </c>
      <c r="K171" s="11" t="s">
        <v>579</v>
      </c>
      <c r="L171" s="12"/>
      <c r="M171" s="12"/>
    </row>
    <row r="172" spans="1:14">
      <c r="A172" s="4" t="s">
        <v>348</v>
      </c>
      <c r="B172" s="9" t="s">
        <v>349</v>
      </c>
      <c r="C172" s="9" t="s">
        <v>269</v>
      </c>
      <c r="D172" s="9" t="s">
        <v>593</v>
      </c>
      <c r="E172" s="9">
        <v>1</v>
      </c>
      <c r="F172" s="9">
        <v>2</v>
      </c>
      <c r="G172" s="10">
        <v>384300.61000000004</v>
      </c>
      <c r="H172" s="11" t="s">
        <v>586</v>
      </c>
      <c r="I172" s="11" t="s">
        <v>582</v>
      </c>
      <c r="J172" s="11" t="s">
        <v>579</v>
      </c>
      <c r="K172" s="11" t="s">
        <v>579</v>
      </c>
      <c r="L172" s="12">
        <v>1065</v>
      </c>
      <c r="M172" s="12"/>
    </row>
    <row r="173" spans="1:14">
      <c r="A173" s="4" t="s">
        <v>350</v>
      </c>
      <c r="B173" s="9" t="s">
        <v>351</v>
      </c>
      <c r="C173" s="9" t="s">
        <v>269</v>
      </c>
      <c r="D173" s="9" t="s">
        <v>593</v>
      </c>
      <c r="E173" s="9">
        <v>1</v>
      </c>
      <c r="F173" s="9">
        <v>2</v>
      </c>
      <c r="G173" s="10">
        <v>1677807.63</v>
      </c>
      <c r="H173" s="11" t="s">
        <v>586</v>
      </c>
      <c r="I173" s="11" t="s">
        <v>578</v>
      </c>
      <c r="J173" s="11" t="s">
        <v>579</v>
      </c>
      <c r="K173" s="11" t="s">
        <v>579</v>
      </c>
      <c r="L173" s="12"/>
      <c r="M173" s="12"/>
    </row>
    <row r="174" spans="1:14">
      <c r="A174" s="4" t="s">
        <v>352</v>
      </c>
      <c r="B174" s="9" t="s">
        <v>353</v>
      </c>
      <c r="C174" s="9" t="s">
        <v>269</v>
      </c>
      <c r="D174" s="9" t="s">
        <v>588</v>
      </c>
      <c r="E174" s="9">
        <v>1</v>
      </c>
      <c r="F174" s="9">
        <v>2</v>
      </c>
      <c r="G174" s="10">
        <v>70580.399999999994</v>
      </c>
      <c r="H174" s="11"/>
      <c r="I174" s="11" t="s">
        <v>578</v>
      </c>
      <c r="J174" s="11" t="s">
        <v>579</v>
      </c>
      <c r="K174" s="11" t="s">
        <v>579</v>
      </c>
      <c r="L174" s="12"/>
      <c r="M174" s="12"/>
      <c r="N174" t="str">
        <f>IFERROR(VLOOKUP(A174,[1]Worksheet!A:B,2,FALSE),"")</f>
        <v/>
      </c>
    </row>
    <row r="175" spans="1:14">
      <c r="A175" s="4" t="s">
        <v>354</v>
      </c>
      <c r="B175" s="9" t="s">
        <v>355</v>
      </c>
      <c r="C175" s="9" t="s">
        <v>269</v>
      </c>
      <c r="D175" s="9" t="s">
        <v>591</v>
      </c>
      <c r="E175" s="9">
        <v>1</v>
      </c>
      <c r="F175" s="9">
        <v>2</v>
      </c>
      <c r="G175" s="10">
        <v>416955.58</v>
      </c>
      <c r="H175" s="11"/>
      <c r="I175" s="11" t="s">
        <v>578</v>
      </c>
      <c r="J175" s="11" t="s">
        <v>579</v>
      </c>
      <c r="K175" s="11" t="s">
        <v>579</v>
      </c>
      <c r="L175" s="12"/>
      <c r="M175" s="12"/>
    </row>
    <row r="176" spans="1:14">
      <c r="A176" s="4" t="s">
        <v>356</v>
      </c>
      <c r="B176" s="9" t="s">
        <v>357</v>
      </c>
      <c r="C176" s="9" t="s">
        <v>269</v>
      </c>
      <c r="D176" s="9" t="s">
        <v>593</v>
      </c>
      <c r="E176" s="9">
        <v>1</v>
      </c>
      <c r="F176" s="9">
        <v>2</v>
      </c>
      <c r="G176" s="10">
        <v>1815702</v>
      </c>
      <c r="H176" s="11" t="s">
        <v>586</v>
      </c>
      <c r="I176" s="11" t="s">
        <v>578</v>
      </c>
      <c r="J176" s="11" t="s">
        <v>579</v>
      </c>
      <c r="K176" s="11" t="s">
        <v>579</v>
      </c>
      <c r="L176" s="12"/>
      <c r="M176" s="12"/>
    </row>
    <row r="177" spans="1:14">
      <c r="A177" s="4" t="s">
        <v>358</v>
      </c>
      <c r="B177" s="9" t="s">
        <v>359</v>
      </c>
      <c r="C177" s="9" t="s">
        <v>269</v>
      </c>
      <c r="D177" s="9" t="s">
        <v>593</v>
      </c>
      <c r="E177" s="9">
        <v>1</v>
      </c>
      <c r="F177" s="9">
        <v>2</v>
      </c>
      <c r="G177" s="10">
        <v>640734</v>
      </c>
      <c r="H177" s="11" t="s">
        <v>586</v>
      </c>
      <c r="I177" s="11" t="s">
        <v>578</v>
      </c>
      <c r="J177" s="11" t="s">
        <v>579</v>
      </c>
      <c r="K177" s="11" t="s">
        <v>579</v>
      </c>
      <c r="L177" s="12"/>
      <c r="M177" s="12"/>
    </row>
    <row r="178" spans="1:14">
      <c r="A178" s="4" t="s">
        <v>360</v>
      </c>
      <c r="B178" s="9" t="s">
        <v>361</v>
      </c>
      <c r="C178" s="9" t="s">
        <v>269</v>
      </c>
      <c r="D178" s="9" t="s">
        <v>590</v>
      </c>
      <c r="E178" s="9">
        <v>1</v>
      </c>
      <c r="F178" s="9">
        <v>2</v>
      </c>
      <c r="G178" s="10"/>
      <c r="H178" s="11"/>
      <c r="I178" s="11" t="s">
        <v>578</v>
      </c>
      <c r="J178" s="11" t="s">
        <v>579</v>
      </c>
      <c r="K178" s="11" t="s">
        <v>581</v>
      </c>
      <c r="L178" s="12">
        <v>801</v>
      </c>
      <c r="M178" s="12"/>
      <c r="N178" t="str">
        <f>IFERROR(VLOOKUP(A178,[1]Worksheet!A:B,2,FALSE),"")</f>
        <v>R$ 801,00</v>
      </c>
    </row>
    <row r="179" spans="1:14">
      <c r="A179" s="4" t="s">
        <v>362</v>
      </c>
      <c r="B179" s="9" t="s">
        <v>363</v>
      </c>
      <c r="C179" s="9" t="s">
        <v>269</v>
      </c>
      <c r="D179" s="9" t="s">
        <v>590</v>
      </c>
      <c r="E179" s="9">
        <v>1</v>
      </c>
      <c r="F179" s="9">
        <v>1</v>
      </c>
      <c r="G179" s="10">
        <v>46251.369999999995</v>
      </c>
      <c r="H179" s="11"/>
      <c r="I179" s="11" t="s">
        <v>578</v>
      </c>
      <c r="J179" s="11" t="s">
        <v>579</v>
      </c>
      <c r="K179" s="11" t="s">
        <v>579</v>
      </c>
      <c r="L179" s="12">
        <v>266</v>
      </c>
      <c r="M179" s="12"/>
      <c r="N179" t="str">
        <f>IFERROR(VLOOKUP(A179,[1]Worksheet!A:B,2,FALSE),"")</f>
        <v>R$ 266,00</v>
      </c>
    </row>
    <row r="180" spans="1:14">
      <c r="A180" s="4" t="s">
        <v>364</v>
      </c>
      <c r="B180" s="9" t="s">
        <v>365</v>
      </c>
      <c r="C180" s="9" t="s">
        <v>269</v>
      </c>
      <c r="D180" s="9" t="s">
        <v>588</v>
      </c>
      <c r="E180" s="9">
        <v>1</v>
      </c>
      <c r="F180" s="9">
        <v>1</v>
      </c>
      <c r="G180" s="10">
        <v>7147.77</v>
      </c>
      <c r="H180" s="11"/>
      <c r="I180" s="11" t="s">
        <v>578</v>
      </c>
      <c r="J180" s="11" t="s">
        <v>579</v>
      </c>
      <c r="K180" s="11" t="s">
        <v>579</v>
      </c>
      <c r="L180" s="12"/>
      <c r="M180" s="12"/>
      <c r="N180" t="str">
        <f>IFERROR(VLOOKUP(A180,[1]Worksheet!A:B,2,FALSE),"")</f>
        <v/>
      </c>
    </row>
    <row r="181" spans="1:14">
      <c r="A181" s="4" t="s">
        <v>366</v>
      </c>
      <c r="B181" s="9" t="s">
        <v>367</v>
      </c>
      <c r="C181" s="9" t="s">
        <v>269</v>
      </c>
      <c r="D181" s="9" t="s">
        <v>590</v>
      </c>
      <c r="E181" s="9">
        <v>1</v>
      </c>
      <c r="F181" s="9">
        <v>1</v>
      </c>
      <c r="G181" s="10">
        <v>125090</v>
      </c>
      <c r="H181" s="11"/>
      <c r="I181" s="11" t="s">
        <v>578</v>
      </c>
      <c r="J181" s="11" t="s">
        <v>579</v>
      </c>
      <c r="K181" s="11" t="s">
        <v>579</v>
      </c>
      <c r="L181" s="12">
        <v>611</v>
      </c>
      <c r="M181" s="12"/>
      <c r="N181" t="str">
        <f>IFERROR(VLOOKUP(A181,[1]Worksheet!A:B,2,FALSE),"")</f>
        <v>R$ 611,00</v>
      </c>
    </row>
    <row r="182" spans="1:14">
      <c r="A182" s="4" t="s">
        <v>368</v>
      </c>
      <c r="B182" s="9" t="s">
        <v>369</v>
      </c>
      <c r="C182" s="9" t="s">
        <v>269</v>
      </c>
      <c r="D182" s="9" t="s">
        <v>591</v>
      </c>
      <c r="E182" s="9">
        <v>2</v>
      </c>
      <c r="F182" s="9">
        <v>1</v>
      </c>
      <c r="G182" s="10">
        <v>273831.99</v>
      </c>
      <c r="H182" s="11"/>
      <c r="I182" s="11" t="s">
        <v>578</v>
      </c>
      <c r="J182" s="11" t="s">
        <v>579</v>
      </c>
      <c r="K182" s="11" t="s">
        <v>579</v>
      </c>
      <c r="L182" s="12"/>
      <c r="M182" s="12"/>
    </row>
    <row r="183" spans="1:14">
      <c r="A183" s="4" t="s">
        <v>370</v>
      </c>
      <c r="B183" s="9" t="s">
        <v>371</v>
      </c>
      <c r="C183" s="9" t="s">
        <v>269</v>
      </c>
      <c r="D183" s="9" t="s">
        <v>591</v>
      </c>
      <c r="E183" s="9">
        <v>1</v>
      </c>
      <c r="F183" s="9">
        <v>3</v>
      </c>
      <c r="G183" s="10">
        <v>174383</v>
      </c>
      <c r="H183" s="11">
        <v>1</v>
      </c>
      <c r="I183" s="11" t="s">
        <v>578</v>
      </c>
      <c r="J183" s="11" t="s">
        <v>579</v>
      </c>
      <c r="K183" s="11" t="s">
        <v>579</v>
      </c>
      <c r="L183" s="12"/>
      <c r="M183" s="12"/>
    </row>
    <row r="184" spans="1:14">
      <c r="A184" s="4" t="s">
        <v>372</v>
      </c>
      <c r="B184" s="9" t="s">
        <v>373</v>
      </c>
      <c r="C184" s="9" t="s">
        <v>269</v>
      </c>
      <c r="D184" s="9" t="s">
        <v>593</v>
      </c>
      <c r="E184" s="9">
        <v>1</v>
      </c>
      <c r="F184" s="9">
        <v>2</v>
      </c>
      <c r="G184" s="10">
        <v>918272.80999999994</v>
      </c>
      <c r="H184" s="11" t="s">
        <v>586</v>
      </c>
      <c r="I184" s="11" t="s">
        <v>578</v>
      </c>
      <c r="J184" s="11" t="s">
        <v>579</v>
      </c>
      <c r="K184" s="11" t="s">
        <v>579</v>
      </c>
      <c r="L184" s="12"/>
      <c r="M184" s="12"/>
    </row>
    <row r="185" spans="1:14">
      <c r="A185" s="4" t="s">
        <v>374</v>
      </c>
      <c r="B185" s="9" t="s">
        <v>375</v>
      </c>
      <c r="C185" s="9" t="s">
        <v>269</v>
      </c>
      <c r="D185" s="9" t="s">
        <v>591</v>
      </c>
      <c r="E185" s="9">
        <v>1</v>
      </c>
      <c r="F185" s="9">
        <v>2</v>
      </c>
      <c r="G185" s="10">
        <v>863385.15</v>
      </c>
      <c r="H185" s="11" t="s">
        <v>586</v>
      </c>
      <c r="I185" s="11" t="s">
        <v>578</v>
      </c>
      <c r="J185" s="11" t="s">
        <v>579</v>
      </c>
      <c r="K185" s="11" t="s">
        <v>581</v>
      </c>
      <c r="L185" s="12"/>
      <c r="M185" s="12"/>
    </row>
    <row r="186" spans="1:14">
      <c r="A186" s="4" t="s">
        <v>376</v>
      </c>
      <c r="B186" s="9" t="s">
        <v>377</v>
      </c>
      <c r="C186" s="9" t="s">
        <v>269</v>
      </c>
      <c r="D186" s="9" t="s">
        <v>591</v>
      </c>
      <c r="E186" s="9">
        <v>1</v>
      </c>
      <c r="F186" s="9">
        <v>1</v>
      </c>
      <c r="G186" s="10">
        <v>144609.94999999998</v>
      </c>
      <c r="H186" s="11" t="s">
        <v>586</v>
      </c>
      <c r="I186" s="11" t="s">
        <v>578</v>
      </c>
      <c r="J186" s="11" t="s">
        <v>579</v>
      </c>
      <c r="K186" s="11" t="s">
        <v>581</v>
      </c>
      <c r="L186" s="12"/>
      <c r="M186" s="12"/>
    </row>
    <row r="187" spans="1:14">
      <c r="A187" s="4" t="s">
        <v>378</v>
      </c>
      <c r="B187" s="9" t="s">
        <v>379</v>
      </c>
      <c r="C187" s="9" t="s">
        <v>269</v>
      </c>
      <c r="D187" s="9" t="s">
        <v>593</v>
      </c>
      <c r="E187" s="9">
        <v>1</v>
      </c>
      <c r="F187" s="9">
        <v>1</v>
      </c>
      <c r="G187" s="10">
        <v>1447987.99</v>
      </c>
      <c r="H187" s="11" t="s">
        <v>586</v>
      </c>
      <c r="I187" s="11" t="s">
        <v>578</v>
      </c>
      <c r="J187" s="11" t="s">
        <v>579</v>
      </c>
      <c r="K187" s="11" t="s">
        <v>579</v>
      </c>
      <c r="L187" s="12"/>
      <c r="M187" s="12"/>
    </row>
    <row r="188" spans="1:14">
      <c r="A188" s="4" t="s">
        <v>380</v>
      </c>
      <c r="B188" s="9" t="s">
        <v>381</v>
      </c>
      <c r="C188" s="9" t="s">
        <v>269</v>
      </c>
      <c r="D188" s="9" t="s">
        <v>591</v>
      </c>
      <c r="E188" s="9">
        <v>1</v>
      </c>
      <c r="F188" s="9">
        <v>3</v>
      </c>
      <c r="G188" s="10">
        <v>1002688.2399999999</v>
      </c>
      <c r="H188" s="11" t="s">
        <v>586</v>
      </c>
      <c r="I188" s="11" t="s">
        <v>578</v>
      </c>
      <c r="J188" s="11" t="s">
        <v>579</v>
      </c>
      <c r="K188" s="11" t="s">
        <v>579</v>
      </c>
      <c r="L188" s="12"/>
      <c r="M188" s="12"/>
    </row>
    <row r="189" spans="1:14">
      <c r="A189" s="4" t="s">
        <v>382</v>
      </c>
      <c r="B189" s="9" t="s">
        <v>383</v>
      </c>
      <c r="C189" s="9" t="s">
        <v>269</v>
      </c>
      <c r="D189" s="9" t="s">
        <v>591</v>
      </c>
      <c r="E189" s="9">
        <v>1</v>
      </c>
      <c r="F189" s="9">
        <v>2</v>
      </c>
      <c r="G189" s="10">
        <v>246593.5</v>
      </c>
      <c r="H189" s="11"/>
      <c r="I189" s="11" t="s">
        <v>578</v>
      </c>
      <c r="J189" s="11" t="s">
        <v>579</v>
      </c>
      <c r="K189" s="11" t="s">
        <v>579</v>
      </c>
      <c r="L189" s="12"/>
      <c r="M189" s="12"/>
    </row>
    <row r="190" spans="1:14">
      <c r="A190" s="4" t="s">
        <v>384</v>
      </c>
      <c r="B190" s="9" t="s">
        <v>385</v>
      </c>
      <c r="C190" s="9" t="s">
        <v>269</v>
      </c>
      <c r="D190" s="9" t="s">
        <v>591</v>
      </c>
      <c r="E190" s="9">
        <v>1</v>
      </c>
      <c r="F190" s="9">
        <v>1</v>
      </c>
      <c r="G190" s="10">
        <v>28209</v>
      </c>
      <c r="H190" s="11"/>
      <c r="I190" s="11" t="s">
        <v>578</v>
      </c>
      <c r="J190" s="11" t="s">
        <v>579</v>
      </c>
      <c r="K190" s="11" t="s">
        <v>579</v>
      </c>
      <c r="L190" s="12"/>
      <c r="M190" s="12"/>
    </row>
    <row r="191" spans="1:14">
      <c r="A191" s="4" t="s">
        <v>386</v>
      </c>
      <c r="B191" s="9" t="s">
        <v>387</v>
      </c>
      <c r="C191" s="9" t="s">
        <v>269</v>
      </c>
      <c r="D191" s="9" t="s">
        <v>591</v>
      </c>
      <c r="E191" s="9">
        <v>1</v>
      </c>
      <c r="F191" s="9">
        <v>1</v>
      </c>
      <c r="G191" s="10">
        <v>132800</v>
      </c>
      <c r="H191" s="11"/>
      <c r="I191" s="11" t="s">
        <v>578</v>
      </c>
      <c r="J191" s="11" t="s">
        <v>579</v>
      </c>
      <c r="K191" s="11" t="s">
        <v>579</v>
      </c>
      <c r="L191" s="12"/>
      <c r="M191" s="12"/>
    </row>
    <row r="192" spans="1:14">
      <c r="A192" s="4" t="s">
        <v>388</v>
      </c>
      <c r="B192" s="9" t="s">
        <v>389</v>
      </c>
      <c r="C192" s="9" t="s">
        <v>269</v>
      </c>
      <c r="D192" s="9" t="s">
        <v>590</v>
      </c>
      <c r="E192" s="9">
        <v>1</v>
      </c>
      <c r="F192" s="9">
        <v>2</v>
      </c>
      <c r="G192" s="10">
        <v>51800</v>
      </c>
      <c r="H192" s="11"/>
      <c r="I192" s="11" t="s">
        <v>578</v>
      </c>
      <c r="J192" s="11" t="s">
        <v>579</v>
      </c>
      <c r="K192" s="11" t="s">
        <v>579</v>
      </c>
      <c r="L192" s="12"/>
      <c r="M192" s="12"/>
      <c r="N192" t="str">
        <f>IFERROR(VLOOKUP(A192,[1]Worksheet!A:B,2,FALSE),"")</f>
        <v/>
      </c>
    </row>
    <row r="193" spans="1:14">
      <c r="A193" s="4" t="s">
        <v>390</v>
      </c>
      <c r="B193" s="9" t="s">
        <v>391</v>
      </c>
      <c r="C193" s="9" t="s">
        <v>269</v>
      </c>
      <c r="D193" s="9" t="s">
        <v>591</v>
      </c>
      <c r="E193" s="9">
        <v>1</v>
      </c>
      <c r="F193" s="9">
        <v>1</v>
      </c>
      <c r="G193" s="10">
        <v>93198</v>
      </c>
      <c r="H193" s="11"/>
      <c r="I193" s="11" t="s">
        <v>578</v>
      </c>
      <c r="J193" s="11" t="s">
        <v>579</v>
      </c>
      <c r="K193" s="11" t="s">
        <v>579</v>
      </c>
      <c r="L193" s="12"/>
      <c r="M193" s="12"/>
    </row>
    <row r="194" spans="1:14">
      <c r="A194" s="4" t="s">
        <v>392</v>
      </c>
      <c r="B194" s="9" t="s">
        <v>393</v>
      </c>
      <c r="C194" s="9" t="s">
        <v>269</v>
      </c>
      <c r="D194" s="9" t="s">
        <v>591</v>
      </c>
      <c r="E194" s="9">
        <v>1</v>
      </c>
      <c r="F194" s="9">
        <v>2</v>
      </c>
      <c r="G194" s="10">
        <v>38399</v>
      </c>
      <c r="H194" s="11"/>
      <c r="I194" s="11" t="s">
        <v>578</v>
      </c>
      <c r="J194" s="11" t="s">
        <v>579</v>
      </c>
      <c r="K194" s="11" t="s">
        <v>581</v>
      </c>
      <c r="L194" s="12"/>
      <c r="M194" s="12"/>
    </row>
    <row r="195" spans="1:14">
      <c r="A195" s="4" t="s">
        <v>394</v>
      </c>
      <c r="B195" s="9" t="s">
        <v>395</v>
      </c>
      <c r="C195" s="9" t="s">
        <v>269</v>
      </c>
      <c r="D195" s="9" t="s">
        <v>590</v>
      </c>
      <c r="E195" s="9">
        <v>1</v>
      </c>
      <c r="F195" s="9">
        <v>1</v>
      </c>
      <c r="G195" s="10">
        <v>59473.66</v>
      </c>
      <c r="H195" s="11"/>
      <c r="I195" s="11" t="s">
        <v>578</v>
      </c>
      <c r="J195" s="11" t="s">
        <v>579</v>
      </c>
      <c r="K195" s="11" t="s">
        <v>579</v>
      </c>
      <c r="L195" s="12">
        <v>447</v>
      </c>
      <c r="M195" s="12"/>
      <c r="N195" t="str">
        <f>IFERROR(VLOOKUP(A195,[1]Worksheet!A:B,2,FALSE),"")</f>
        <v>R$ 447,00</v>
      </c>
    </row>
    <row r="196" spans="1:14">
      <c r="A196" s="16" t="s">
        <v>396</v>
      </c>
      <c r="B196" s="17" t="s">
        <v>397</v>
      </c>
      <c r="C196" s="17" t="s">
        <v>269</v>
      </c>
      <c r="D196" s="17" t="s">
        <v>590</v>
      </c>
      <c r="E196" s="17">
        <v>1</v>
      </c>
      <c r="F196" s="17">
        <v>1</v>
      </c>
      <c r="G196" s="18">
        <v>647196.17000000004</v>
      </c>
      <c r="H196" s="19">
        <v>9</v>
      </c>
      <c r="I196" s="19" t="s">
        <v>578</v>
      </c>
      <c r="J196" s="19" t="s">
        <v>579</v>
      </c>
      <c r="K196" s="19" t="s">
        <v>581</v>
      </c>
      <c r="L196" s="22">
        <v>1473</v>
      </c>
      <c r="M196" s="22">
        <v>1390</v>
      </c>
      <c r="N196" t="str">
        <f>IFERROR(VLOOKUP(A196,[1]Worksheet!A:B,2,FALSE),"")</f>
        <v>R$ 1.473,00</v>
      </c>
    </row>
    <row r="197" spans="1:14">
      <c r="A197" s="4" t="s">
        <v>398</v>
      </c>
      <c r="B197" s="9" t="s">
        <v>399</v>
      </c>
      <c r="C197" s="9" t="s">
        <v>269</v>
      </c>
      <c r="D197" s="9" t="s">
        <v>591</v>
      </c>
      <c r="E197" s="9">
        <v>1</v>
      </c>
      <c r="F197" s="9">
        <v>2</v>
      </c>
      <c r="G197" s="10">
        <v>582175.15999999992</v>
      </c>
      <c r="H197" s="11" t="s">
        <v>586</v>
      </c>
      <c r="I197" s="11" t="s">
        <v>578</v>
      </c>
      <c r="J197" s="11" t="s">
        <v>579</v>
      </c>
      <c r="K197" s="11" t="s">
        <v>579</v>
      </c>
      <c r="L197" s="12"/>
      <c r="M197" s="12"/>
    </row>
    <row r="198" spans="1:14">
      <c r="A198" s="4" t="s">
        <v>400</v>
      </c>
      <c r="B198" s="9" t="s">
        <v>401</v>
      </c>
      <c r="C198" s="9" t="s">
        <v>269</v>
      </c>
      <c r="D198" s="9" t="s">
        <v>591</v>
      </c>
      <c r="E198" s="9">
        <v>1</v>
      </c>
      <c r="F198" s="9">
        <v>1</v>
      </c>
      <c r="G198" s="10">
        <v>296730.85000000003</v>
      </c>
      <c r="H198" s="11"/>
      <c r="I198" s="11" t="s">
        <v>578</v>
      </c>
      <c r="J198" s="11" t="s">
        <v>579</v>
      </c>
      <c r="K198" s="11" t="s">
        <v>579</v>
      </c>
      <c r="L198" s="12"/>
      <c r="M198" s="12"/>
    </row>
    <row r="199" spans="1:14">
      <c r="A199" s="16" t="s">
        <v>402</v>
      </c>
      <c r="B199" s="17" t="s">
        <v>403</v>
      </c>
      <c r="C199" s="17" t="s">
        <v>269</v>
      </c>
      <c r="D199" s="17" t="s">
        <v>592</v>
      </c>
      <c r="E199" s="17">
        <v>1</v>
      </c>
      <c r="F199" s="17">
        <v>1</v>
      </c>
      <c r="G199" s="18">
        <v>2000950.52</v>
      </c>
      <c r="H199" s="19">
        <v>5</v>
      </c>
      <c r="I199" s="19" t="s">
        <v>578</v>
      </c>
      <c r="J199" s="19" t="s">
        <v>579</v>
      </c>
      <c r="K199" s="19" t="s">
        <v>581</v>
      </c>
      <c r="L199" s="22">
        <v>880</v>
      </c>
      <c r="M199" s="22">
        <v>1730</v>
      </c>
    </row>
    <row r="200" spans="1:14">
      <c r="A200" s="4" t="s">
        <v>404</v>
      </c>
      <c r="B200" s="9" t="s">
        <v>405</v>
      </c>
      <c r="C200" s="9" t="s">
        <v>269</v>
      </c>
      <c r="D200" s="9" t="s">
        <v>591</v>
      </c>
      <c r="E200" s="9">
        <v>1</v>
      </c>
      <c r="F200" s="9">
        <v>2</v>
      </c>
      <c r="G200" s="10">
        <v>598426.27</v>
      </c>
      <c r="H200" s="11" t="s">
        <v>586</v>
      </c>
      <c r="I200" s="11" t="s">
        <v>578</v>
      </c>
      <c r="J200" s="11" t="s">
        <v>579</v>
      </c>
      <c r="K200" s="11" t="s">
        <v>581</v>
      </c>
      <c r="L200" s="12">
        <v>820</v>
      </c>
      <c r="M200" s="12"/>
    </row>
    <row r="201" spans="1:14">
      <c r="A201" s="4" t="s">
        <v>406</v>
      </c>
      <c r="B201" s="9" t="s">
        <v>407</v>
      </c>
      <c r="C201" s="9" t="s">
        <v>269</v>
      </c>
      <c r="D201" s="9" t="s">
        <v>590</v>
      </c>
      <c r="E201" s="9">
        <v>1</v>
      </c>
      <c r="F201" s="9">
        <v>2</v>
      </c>
      <c r="G201" s="10">
        <v>759292.09000000008</v>
      </c>
      <c r="H201" s="11" t="s">
        <v>586</v>
      </c>
      <c r="I201" s="11" t="s">
        <v>578</v>
      </c>
      <c r="J201" s="11" t="s">
        <v>579</v>
      </c>
      <c r="K201" s="11" t="s">
        <v>579</v>
      </c>
      <c r="L201" s="12">
        <v>515</v>
      </c>
      <c r="M201" s="12"/>
      <c r="N201" t="str">
        <f>IFERROR(VLOOKUP(A201,[1]Worksheet!A:B,2,FALSE),"")</f>
        <v>R$ 515,00</v>
      </c>
    </row>
    <row r="202" spans="1:14">
      <c r="A202" s="4" t="s">
        <v>408</v>
      </c>
      <c r="B202" s="9" t="s">
        <v>409</v>
      </c>
      <c r="C202" s="9" t="s">
        <v>269</v>
      </c>
      <c r="D202" s="9" t="s">
        <v>591</v>
      </c>
      <c r="E202" s="9">
        <v>1</v>
      </c>
      <c r="F202" s="9">
        <v>3</v>
      </c>
      <c r="G202" s="10">
        <v>102912.61</v>
      </c>
      <c r="H202" s="11"/>
      <c r="I202" s="11" t="s">
        <v>578</v>
      </c>
      <c r="J202" s="11" t="s">
        <v>579</v>
      </c>
      <c r="K202" s="11" t="s">
        <v>579</v>
      </c>
      <c r="L202" s="12"/>
      <c r="M202" s="12"/>
    </row>
    <row r="203" spans="1:14">
      <c r="A203" s="4" t="s">
        <v>410</v>
      </c>
      <c r="B203" s="9" t="s">
        <v>258</v>
      </c>
      <c r="C203" s="9" t="s">
        <v>269</v>
      </c>
      <c r="D203" s="9" t="s">
        <v>590</v>
      </c>
      <c r="E203" s="9">
        <v>1</v>
      </c>
      <c r="F203" s="9">
        <v>2</v>
      </c>
      <c r="G203" s="10">
        <v>198027.40000000002</v>
      </c>
      <c r="H203" s="11"/>
      <c r="I203" s="11" t="s">
        <v>578</v>
      </c>
      <c r="J203" s="11" t="s">
        <v>579</v>
      </c>
      <c r="K203" s="11" t="s">
        <v>579</v>
      </c>
      <c r="L203" s="12"/>
      <c r="M203" s="12"/>
      <c r="N203" t="str">
        <f>IFERROR(VLOOKUP(A203,[1]Worksheet!A:B,2,FALSE),"")</f>
        <v/>
      </c>
    </row>
    <row r="204" spans="1:14">
      <c r="A204" s="4" t="s">
        <v>411</v>
      </c>
      <c r="B204" s="9" t="s">
        <v>412</v>
      </c>
      <c r="C204" s="9" t="s">
        <v>269</v>
      </c>
      <c r="D204" s="9" t="s">
        <v>594</v>
      </c>
      <c r="E204" s="9">
        <v>1</v>
      </c>
      <c r="F204" s="9">
        <v>3</v>
      </c>
      <c r="G204" s="10">
        <v>1004373.8600000001</v>
      </c>
      <c r="H204" s="11">
        <v>1</v>
      </c>
      <c r="I204" s="11" t="s">
        <v>578</v>
      </c>
      <c r="J204" s="11" t="s">
        <v>579</v>
      </c>
      <c r="K204" s="11" t="s">
        <v>579</v>
      </c>
      <c r="L204" s="12"/>
      <c r="M204" s="12"/>
    </row>
    <row r="205" spans="1:14">
      <c r="A205" s="4" t="s">
        <v>585</v>
      </c>
      <c r="B205" s="9" t="s">
        <v>413</v>
      </c>
      <c r="C205" s="9" t="s">
        <v>269</v>
      </c>
      <c r="D205" s="9" t="s">
        <v>593</v>
      </c>
      <c r="E205" s="9">
        <v>1</v>
      </c>
      <c r="F205" s="9">
        <v>2</v>
      </c>
      <c r="G205" s="10">
        <v>550125.07999999996</v>
      </c>
      <c r="H205" s="11" t="s">
        <v>586</v>
      </c>
      <c r="I205" s="11" t="s">
        <v>578</v>
      </c>
      <c r="J205" s="11" t="s">
        <v>579</v>
      </c>
      <c r="K205" s="11" t="s">
        <v>579</v>
      </c>
      <c r="L205" s="12"/>
      <c r="M205" s="12"/>
    </row>
    <row r="206" spans="1:14">
      <c r="A206" s="4" t="s">
        <v>414</v>
      </c>
      <c r="B206" s="9" t="s">
        <v>415</v>
      </c>
      <c r="C206" s="9" t="s">
        <v>269</v>
      </c>
      <c r="D206" s="9" t="s">
        <v>591</v>
      </c>
      <c r="E206" s="9">
        <v>1</v>
      </c>
      <c r="F206" s="9">
        <v>2</v>
      </c>
      <c r="G206" s="10">
        <v>375149.12000000005</v>
      </c>
      <c r="H206" s="11" t="s">
        <v>586</v>
      </c>
      <c r="I206" s="11" t="s">
        <v>578</v>
      </c>
      <c r="J206" s="11" t="s">
        <v>579</v>
      </c>
      <c r="K206" s="11" t="s">
        <v>579</v>
      </c>
      <c r="L206" s="12"/>
      <c r="M206" s="12"/>
    </row>
    <row r="207" spans="1:14">
      <c r="A207" s="4" t="s">
        <v>416</v>
      </c>
      <c r="B207" s="9" t="s">
        <v>417</v>
      </c>
      <c r="C207" s="9" t="s">
        <v>269</v>
      </c>
      <c r="D207" s="9" t="s">
        <v>591</v>
      </c>
      <c r="E207" s="9">
        <v>1</v>
      </c>
      <c r="F207" s="9">
        <v>1</v>
      </c>
      <c r="G207" s="10">
        <v>275060.90999999997</v>
      </c>
      <c r="H207" s="11" t="s">
        <v>586</v>
      </c>
      <c r="I207" s="11" t="s">
        <v>578</v>
      </c>
      <c r="J207" s="11" t="s">
        <v>579</v>
      </c>
      <c r="K207" s="11" t="s">
        <v>579</v>
      </c>
      <c r="L207" s="12"/>
      <c r="M207" s="12"/>
    </row>
    <row r="208" spans="1:14">
      <c r="A208" s="4" t="s">
        <v>418</v>
      </c>
      <c r="B208" s="9" t="s">
        <v>419</v>
      </c>
      <c r="C208" s="9" t="s">
        <v>269</v>
      </c>
      <c r="D208" s="9" t="s">
        <v>593</v>
      </c>
      <c r="E208" s="9">
        <v>1</v>
      </c>
      <c r="F208" s="9">
        <v>1</v>
      </c>
      <c r="G208" s="10">
        <v>646716.32000000007</v>
      </c>
      <c r="H208" s="11"/>
      <c r="I208" s="11" t="s">
        <v>578</v>
      </c>
      <c r="J208" s="11" t="s">
        <v>579</v>
      </c>
      <c r="K208" s="11" t="s">
        <v>579</v>
      </c>
      <c r="L208" s="12"/>
      <c r="M208" s="12"/>
    </row>
    <row r="209" spans="1:14">
      <c r="A209" s="4" t="s">
        <v>420</v>
      </c>
      <c r="B209" s="9" t="s">
        <v>421</v>
      </c>
      <c r="C209" s="9" t="s">
        <v>269</v>
      </c>
      <c r="D209" s="9" t="s">
        <v>591</v>
      </c>
      <c r="E209" s="9">
        <v>1</v>
      </c>
      <c r="F209" s="9">
        <v>1</v>
      </c>
      <c r="G209" s="10">
        <v>128965</v>
      </c>
      <c r="H209" s="11"/>
      <c r="I209" s="11" t="s">
        <v>578</v>
      </c>
      <c r="J209" s="11" t="s">
        <v>579</v>
      </c>
      <c r="K209" s="11" t="s">
        <v>579</v>
      </c>
      <c r="L209" s="12"/>
      <c r="M209" s="12"/>
    </row>
    <row r="210" spans="1:14">
      <c r="A210" s="4" t="s">
        <v>422</v>
      </c>
      <c r="B210" s="9" t="s">
        <v>423</v>
      </c>
      <c r="C210" s="9" t="s">
        <v>269</v>
      </c>
      <c r="D210" s="9" t="s">
        <v>591</v>
      </c>
      <c r="E210" s="9">
        <v>1</v>
      </c>
      <c r="F210" s="9">
        <v>1</v>
      </c>
      <c r="G210" s="10">
        <v>1799.91</v>
      </c>
      <c r="H210" s="11"/>
      <c r="I210" s="11" t="s">
        <v>578</v>
      </c>
      <c r="J210" s="11" t="s">
        <v>579</v>
      </c>
      <c r="K210" s="11" t="s">
        <v>579</v>
      </c>
      <c r="L210" s="12"/>
      <c r="M210" s="12"/>
    </row>
    <row r="211" spans="1:14">
      <c r="A211" s="4" t="s">
        <v>424</v>
      </c>
      <c r="B211" s="9" t="s">
        <v>425</v>
      </c>
      <c r="C211" s="9" t="s">
        <v>269</v>
      </c>
      <c r="D211" s="9" t="s">
        <v>590</v>
      </c>
      <c r="E211" s="9">
        <v>1</v>
      </c>
      <c r="F211" s="9">
        <v>1</v>
      </c>
      <c r="G211" s="10"/>
      <c r="H211" s="11" t="s">
        <v>586</v>
      </c>
      <c r="I211" s="11" t="s">
        <v>578</v>
      </c>
      <c r="J211" s="11" t="s">
        <v>579</v>
      </c>
      <c r="K211" s="11" t="s">
        <v>579</v>
      </c>
      <c r="L211" s="12">
        <v>150</v>
      </c>
      <c r="M211" s="12"/>
      <c r="N211" t="str">
        <f>IFERROR(VLOOKUP(A211,[1]Worksheet!A:B,2,FALSE),"")</f>
        <v>R$ 150,00</v>
      </c>
    </row>
    <row r="212" spans="1:14">
      <c r="A212" s="4" t="s">
        <v>426</v>
      </c>
      <c r="B212" s="9" t="s">
        <v>427</v>
      </c>
      <c r="C212" s="9" t="s">
        <v>269</v>
      </c>
      <c r="D212" s="9" t="s">
        <v>590</v>
      </c>
      <c r="E212" s="9">
        <v>1</v>
      </c>
      <c r="F212" s="9">
        <v>1</v>
      </c>
      <c r="G212" s="10">
        <v>154380</v>
      </c>
      <c r="H212" s="11"/>
      <c r="I212" s="11" t="s">
        <v>578</v>
      </c>
      <c r="J212" s="11" t="s">
        <v>579</v>
      </c>
      <c r="K212" s="11" t="s">
        <v>579</v>
      </c>
      <c r="L212" s="12">
        <v>740</v>
      </c>
      <c r="M212" s="12">
        <v>480</v>
      </c>
      <c r="N212" t="str">
        <f>IFERROR(VLOOKUP(A212,[1]Worksheet!A:B,2,FALSE),"")</f>
        <v>R$ 740,00</v>
      </c>
    </row>
    <row r="213" spans="1:14">
      <c r="A213" s="4" t="s">
        <v>428</v>
      </c>
      <c r="B213" s="9" t="s">
        <v>429</v>
      </c>
      <c r="C213" s="9" t="s">
        <v>269</v>
      </c>
      <c r="D213" s="9" t="s">
        <v>591</v>
      </c>
      <c r="E213" s="9">
        <v>1</v>
      </c>
      <c r="F213" s="9">
        <v>1</v>
      </c>
      <c r="G213" s="10">
        <v>84317.690000000017</v>
      </c>
      <c r="H213" s="11"/>
      <c r="I213" s="11" t="s">
        <v>578</v>
      </c>
      <c r="J213" s="11" t="s">
        <v>579</v>
      </c>
      <c r="K213" s="11" t="s">
        <v>579</v>
      </c>
      <c r="L213" s="12"/>
      <c r="M213" s="12"/>
    </row>
    <row r="214" spans="1:14">
      <c r="A214" s="4" t="s">
        <v>430</v>
      </c>
      <c r="B214" s="9" t="s">
        <v>431</v>
      </c>
      <c r="C214" s="9" t="s">
        <v>269</v>
      </c>
      <c r="D214" s="9" t="s">
        <v>593</v>
      </c>
      <c r="E214" s="9">
        <v>1</v>
      </c>
      <c r="F214" s="9">
        <v>2</v>
      </c>
      <c r="G214" s="10">
        <v>1555859.8699999999</v>
      </c>
      <c r="H214" s="11" t="s">
        <v>586</v>
      </c>
      <c r="I214" s="11" t="s">
        <v>578</v>
      </c>
      <c r="J214" s="11" t="s">
        <v>579</v>
      </c>
      <c r="K214" s="11" t="s">
        <v>579</v>
      </c>
      <c r="L214" s="12"/>
      <c r="M214" s="12"/>
    </row>
    <row r="215" spans="1:14">
      <c r="A215" s="4" t="s">
        <v>432</v>
      </c>
      <c r="B215" s="9" t="s">
        <v>433</v>
      </c>
      <c r="C215" s="9" t="s">
        <v>269</v>
      </c>
      <c r="D215" s="9" t="s">
        <v>591</v>
      </c>
      <c r="E215" s="9">
        <v>1</v>
      </c>
      <c r="F215" s="9">
        <v>1</v>
      </c>
      <c r="G215" s="10">
        <v>786014.7</v>
      </c>
      <c r="H215" s="11" t="s">
        <v>586</v>
      </c>
      <c r="I215" s="11" t="s">
        <v>578</v>
      </c>
      <c r="J215" s="11" t="s">
        <v>579</v>
      </c>
      <c r="K215" s="11" t="s">
        <v>579</v>
      </c>
      <c r="L215" s="12"/>
      <c r="M215" s="12"/>
    </row>
    <row r="216" spans="1:14">
      <c r="A216" s="4" t="s">
        <v>434</v>
      </c>
      <c r="B216" s="9" t="s">
        <v>435</v>
      </c>
      <c r="C216" s="9" t="s">
        <v>269</v>
      </c>
      <c r="D216" s="9" t="s">
        <v>590</v>
      </c>
      <c r="E216" s="9">
        <v>1</v>
      </c>
      <c r="F216" s="9">
        <v>1</v>
      </c>
      <c r="G216" s="10">
        <v>5324.9400000000005</v>
      </c>
      <c r="H216" s="11"/>
      <c r="I216" s="11" t="s">
        <v>578</v>
      </c>
      <c r="J216" s="11" t="s">
        <v>579</v>
      </c>
      <c r="K216" s="11" t="s">
        <v>579</v>
      </c>
      <c r="L216" s="12"/>
      <c r="M216" s="12"/>
      <c r="N216" t="str">
        <f>IFERROR(VLOOKUP(A216,[1]Worksheet!A:B,2,FALSE),"")</f>
        <v/>
      </c>
    </row>
    <row r="217" spans="1:14">
      <c r="A217" s="4" t="s">
        <v>436</v>
      </c>
      <c r="B217" s="9" t="s">
        <v>437</v>
      </c>
      <c r="C217" s="9" t="s">
        <v>269</v>
      </c>
      <c r="D217" s="9" t="s">
        <v>591</v>
      </c>
      <c r="E217" s="9">
        <v>1</v>
      </c>
      <c r="F217" s="9">
        <v>1</v>
      </c>
      <c r="G217" s="10">
        <v>289166.67</v>
      </c>
      <c r="H217" s="11"/>
      <c r="I217" s="11" t="s">
        <v>578</v>
      </c>
      <c r="J217" s="11" t="s">
        <v>579</v>
      </c>
      <c r="K217" s="11" t="s">
        <v>579</v>
      </c>
      <c r="L217" s="12"/>
      <c r="M217" s="12"/>
    </row>
    <row r="218" spans="1:14">
      <c r="A218" s="4" t="s">
        <v>438</v>
      </c>
      <c r="B218" s="9" t="s">
        <v>439</v>
      </c>
      <c r="C218" s="9" t="s">
        <v>269</v>
      </c>
      <c r="D218" s="9" t="s">
        <v>591</v>
      </c>
      <c r="E218" s="9">
        <v>1</v>
      </c>
      <c r="F218" s="9">
        <v>1</v>
      </c>
      <c r="G218" s="10">
        <v>45000</v>
      </c>
      <c r="H218" s="11"/>
      <c r="I218" s="11" t="s">
        <v>578</v>
      </c>
      <c r="J218" s="11" t="s">
        <v>579</v>
      </c>
      <c r="K218" s="11" t="s">
        <v>579</v>
      </c>
      <c r="L218" s="12"/>
      <c r="M218" s="12"/>
    </row>
    <row r="219" spans="1:14">
      <c r="A219" s="4" t="s">
        <v>440</v>
      </c>
      <c r="B219" s="9" t="s">
        <v>441</v>
      </c>
      <c r="C219" s="9" t="s">
        <v>269</v>
      </c>
      <c r="D219" s="9" t="s">
        <v>591</v>
      </c>
      <c r="E219" s="9">
        <v>1</v>
      </c>
      <c r="F219" s="9">
        <v>2</v>
      </c>
      <c r="G219" s="10">
        <v>1419018.0500000003</v>
      </c>
      <c r="H219" s="11" t="s">
        <v>586</v>
      </c>
      <c r="I219" s="11" t="s">
        <v>578</v>
      </c>
      <c r="J219" s="11" t="s">
        <v>579</v>
      </c>
      <c r="K219" s="11" t="s">
        <v>579</v>
      </c>
      <c r="L219" s="12"/>
      <c r="M219" s="12"/>
    </row>
    <row r="220" spans="1:14">
      <c r="A220" s="16" t="s">
        <v>442</v>
      </c>
      <c r="B220" s="17" t="s">
        <v>443</v>
      </c>
      <c r="C220" s="17" t="s">
        <v>269</v>
      </c>
      <c r="D220" s="17" t="s">
        <v>593</v>
      </c>
      <c r="E220" s="17">
        <v>2</v>
      </c>
      <c r="F220" s="17">
        <v>1</v>
      </c>
      <c r="G220" s="18">
        <v>1219622.5199999998</v>
      </c>
      <c r="H220" s="19">
        <v>1</v>
      </c>
      <c r="I220" s="19" t="s">
        <v>578</v>
      </c>
      <c r="J220" s="19" t="s">
        <v>579</v>
      </c>
      <c r="K220" s="19" t="s">
        <v>581</v>
      </c>
      <c r="L220" s="22">
        <v>373</v>
      </c>
      <c r="M220" s="22">
        <v>910</v>
      </c>
    </row>
    <row r="221" spans="1:14">
      <c r="A221" s="4" t="s">
        <v>444</v>
      </c>
      <c r="B221" s="9" t="s">
        <v>445</v>
      </c>
      <c r="C221" s="9" t="s">
        <v>269</v>
      </c>
      <c r="D221" s="9" t="s">
        <v>591</v>
      </c>
      <c r="E221" s="9">
        <v>1</v>
      </c>
      <c r="F221" s="9">
        <v>2</v>
      </c>
      <c r="G221" s="10">
        <v>1229145.2</v>
      </c>
      <c r="H221" s="11" t="s">
        <v>586</v>
      </c>
      <c r="I221" s="11" t="s">
        <v>578</v>
      </c>
      <c r="J221" s="11" t="s">
        <v>579</v>
      </c>
      <c r="K221" s="11" t="s">
        <v>581</v>
      </c>
      <c r="L221" s="12"/>
      <c r="M221" s="12"/>
    </row>
    <row r="222" spans="1:14">
      <c r="A222" s="4" t="s">
        <v>446</v>
      </c>
      <c r="B222" s="9" t="s">
        <v>447</v>
      </c>
      <c r="C222" s="9" t="s">
        <v>269</v>
      </c>
      <c r="D222" s="9" t="s">
        <v>590</v>
      </c>
      <c r="E222" s="9"/>
      <c r="F222" s="9">
        <v>1</v>
      </c>
      <c r="G222" s="10"/>
      <c r="H222" s="11"/>
      <c r="I222" s="11" t="s">
        <v>578</v>
      </c>
      <c r="J222" s="11" t="s">
        <v>579</v>
      </c>
      <c r="K222" s="11" t="s">
        <v>579</v>
      </c>
      <c r="L222" s="12"/>
      <c r="M222" s="12"/>
      <c r="N222" t="str">
        <f>IFERROR(VLOOKUP(A222,[1]Worksheet!A:B,2,FALSE),"")</f>
        <v/>
      </c>
    </row>
    <row r="223" spans="1:14">
      <c r="A223" s="4" t="s">
        <v>448</v>
      </c>
      <c r="B223" s="9" t="s">
        <v>449</v>
      </c>
      <c r="C223" s="9" t="s">
        <v>269</v>
      </c>
      <c r="D223" s="9" t="s">
        <v>593</v>
      </c>
      <c r="E223" s="9">
        <v>1</v>
      </c>
      <c r="F223" s="9">
        <v>1</v>
      </c>
      <c r="G223" s="10"/>
      <c r="H223" s="11"/>
      <c r="I223" s="11" t="s">
        <v>578</v>
      </c>
      <c r="J223" s="11" t="s">
        <v>579</v>
      </c>
      <c r="K223" s="11" t="s">
        <v>579</v>
      </c>
      <c r="L223" s="12"/>
      <c r="M223" s="12"/>
    </row>
    <row r="224" spans="1:14">
      <c r="A224" s="4" t="s">
        <v>450</v>
      </c>
      <c r="B224" s="9" t="s">
        <v>451</v>
      </c>
      <c r="C224" s="9" t="s">
        <v>269</v>
      </c>
      <c r="D224" s="9" t="s">
        <v>591</v>
      </c>
      <c r="E224" s="9">
        <v>1</v>
      </c>
      <c r="F224" s="9">
        <v>2</v>
      </c>
      <c r="G224" s="10"/>
      <c r="H224" s="11"/>
      <c r="I224" s="11" t="s">
        <v>578</v>
      </c>
      <c r="J224" s="11" t="s">
        <v>579</v>
      </c>
      <c r="K224" s="11" t="s">
        <v>579</v>
      </c>
      <c r="L224" s="12"/>
      <c r="M224" s="12"/>
    </row>
    <row r="225" spans="1:14">
      <c r="A225" s="4" t="s">
        <v>452</v>
      </c>
      <c r="B225" s="9" t="s">
        <v>453</v>
      </c>
      <c r="C225" s="9" t="s">
        <v>269</v>
      </c>
      <c r="D225" s="9" t="s">
        <v>591</v>
      </c>
      <c r="E225" s="9">
        <v>1</v>
      </c>
      <c r="F225" s="9">
        <v>2</v>
      </c>
      <c r="G225" s="10">
        <v>1247919.1499999997</v>
      </c>
      <c r="H225" s="11" t="s">
        <v>586</v>
      </c>
      <c r="I225" s="11" t="s">
        <v>578</v>
      </c>
      <c r="J225" s="11" t="s">
        <v>579</v>
      </c>
      <c r="K225" s="11" t="s">
        <v>579</v>
      </c>
      <c r="L225" s="12"/>
      <c r="M225" s="12"/>
    </row>
    <row r="226" spans="1:14">
      <c r="A226" s="4" t="s">
        <v>454</v>
      </c>
      <c r="B226" s="9" t="s">
        <v>455</v>
      </c>
      <c r="C226" s="9" t="s">
        <v>269</v>
      </c>
      <c r="D226" s="9" t="s">
        <v>590</v>
      </c>
      <c r="E226" s="9">
        <v>1</v>
      </c>
      <c r="F226" s="9">
        <v>1</v>
      </c>
      <c r="G226" s="10">
        <v>46710</v>
      </c>
      <c r="H226" s="11"/>
      <c r="I226" s="11" t="s">
        <v>578</v>
      </c>
      <c r="J226" s="11" t="s">
        <v>579</v>
      </c>
      <c r="K226" s="11" t="s">
        <v>579</v>
      </c>
      <c r="L226" s="12">
        <v>150</v>
      </c>
      <c r="M226" s="12"/>
      <c r="N226" t="str">
        <f>IFERROR(VLOOKUP(A226,[1]Worksheet!A:B,2,FALSE),"")</f>
        <v>R$ 150,00</v>
      </c>
    </row>
    <row r="227" spans="1:14">
      <c r="A227" s="16" t="s">
        <v>456</v>
      </c>
      <c r="B227" s="17" t="s">
        <v>457</v>
      </c>
      <c r="C227" s="17" t="s">
        <v>269</v>
      </c>
      <c r="D227" s="17" t="s">
        <v>593</v>
      </c>
      <c r="E227" s="17">
        <v>1</v>
      </c>
      <c r="F227" s="17">
        <v>1</v>
      </c>
      <c r="G227" s="18">
        <v>2597045.8200000003</v>
      </c>
      <c r="H227" s="19">
        <v>9</v>
      </c>
      <c r="I227" s="19" t="s">
        <v>578</v>
      </c>
      <c r="J227" s="19" t="s">
        <v>579</v>
      </c>
      <c r="K227" s="19" t="s">
        <v>579</v>
      </c>
      <c r="L227" s="22">
        <v>1000</v>
      </c>
      <c r="M227" s="22">
        <v>2300</v>
      </c>
    </row>
    <row r="228" spans="1:14">
      <c r="A228" s="4" t="s">
        <v>458</v>
      </c>
      <c r="B228" s="9" t="s">
        <v>459</v>
      </c>
      <c r="C228" s="9" t="s">
        <v>269</v>
      </c>
      <c r="D228" s="9" t="s">
        <v>590</v>
      </c>
      <c r="E228" s="9">
        <v>1</v>
      </c>
      <c r="F228" s="9">
        <v>2</v>
      </c>
      <c r="G228" s="10">
        <v>246837.09999999998</v>
      </c>
      <c r="H228" s="11"/>
      <c r="I228" s="11" t="s">
        <v>578</v>
      </c>
      <c r="J228" s="11" t="s">
        <v>579</v>
      </c>
      <c r="K228" s="11" t="s">
        <v>579</v>
      </c>
      <c r="L228" s="12"/>
      <c r="M228" s="12"/>
      <c r="N228" t="str">
        <f>IFERROR(VLOOKUP(A228,[1]Worksheet!A:B,2,FALSE),"")</f>
        <v/>
      </c>
    </row>
    <row r="229" spans="1:14">
      <c r="A229" s="16" t="s">
        <v>460</v>
      </c>
      <c r="B229" s="17" t="s">
        <v>461</v>
      </c>
      <c r="C229" s="17" t="s">
        <v>269</v>
      </c>
      <c r="D229" s="17" t="s">
        <v>593</v>
      </c>
      <c r="E229" s="17">
        <v>1</v>
      </c>
      <c r="F229" s="17">
        <v>1</v>
      </c>
      <c r="G229" s="18">
        <v>1013542.65</v>
      </c>
      <c r="H229" s="19"/>
      <c r="I229" s="19" t="s">
        <v>578</v>
      </c>
      <c r="J229" s="19" t="s">
        <v>579</v>
      </c>
      <c r="K229" s="19" t="s">
        <v>581</v>
      </c>
      <c r="L229" s="22">
        <v>1595</v>
      </c>
      <c r="M229" s="22">
        <v>610</v>
      </c>
    </row>
    <row r="230" spans="1:14">
      <c r="A230" s="4" t="s">
        <v>462</v>
      </c>
      <c r="B230" s="9" t="s">
        <v>463</v>
      </c>
      <c r="C230" s="9" t="s">
        <v>269</v>
      </c>
      <c r="D230" s="9" t="s">
        <v>591</v>
      </c>
      <c r="E230" s="9">
        <v>1</v>
      </c>
      <c r="F230" s="9">
        <v>2</v>
      </c>
      <c r="G230" s="10"/>
      <c r="H230" s="11"/>
      <c r="I230" s="11" t="s">
        <v>578</v>
      </c>
      <c r="J230" s="11" t="s">
        <v>579</v>
      </c>
      <c r="K230" s="11" t="s">
        <v>579</v>
      </c>
      <c r="L230" s="12"/>
      <c r="M230" s="12"/>
    </row>
    <row r="231" spans="1:14">
      <c r="A231" s="4" t="s">
        <v>464</v>
      </c>
      <c r="B231" s="9" t="s">
        <v>465</v>
      </c>
      <c r="C231" s="9" t="s">
        <v>269</v>
      </c>
      <c r="D231" s="9" t="s">
        <v>591</v>
      </c>
      <c r="E231" s="9">
        <v>1</v>
      </c>
      <c r="F231" s="9">
        <v>1</v>
      </c>
      <c r="G231" s="10">
        <v>228285</v>
      </c>
      <c r="H231" s="11"/>
      <c r="I231" s="11" t="s">
        <v>578</v>
      </c>
      <c r="J231" s="11" t="s">
        <v>579</v>
      </c>
      <c r="K231" s="11" t="s">
        <v>579</v>
      </c>
      <c r="L231" s="12"/>
      <c r="M231" s="12"/>
    </row>
    <row r="232" spans="1:14">
      <c r="A232" s="16" t="s">
        <v>466</v>
      </c>
      <c r="B232" s="17" t="s">
        <v>467</v>
      </c>
      <c r="C232" s="17" t="s">
        <v>269</v>
      </c>
      <c r="D232" s="17" t="s">
        <v>593</v>
      </c>
      <c r="E232" s="17">
        <v>1</v>
      </c>
      <c r="F232" s="17">
        <v>3</v>
      </c>
      <c r="G232" s="18">
        <v>157954</v>
      </c>
      <c r="H232" s="19"/>
      <c r="I232" s="19" t="s">
        <v>578</v>
      </c>
      <c r="J232" s="19" t="s">
        <v>579</v>
      </c>
      <c r="K232" s="19" t="s">
        <v>579</v>
      </c>
      <c r="L232" s="22">
        <v>1147</v>
      </c>
      <c r="M232" s="22">
        <v>480</v>
      </c>
    </row>
    <row r="233" spans="1:14">
      <c r="A233" s="4" t="s">
        <v>468</v>
      </c>
      <c r="B233" s="9" t="s">
        <v>469</v>
      </c>
      <c r="C233" s="9" t="s">
        <v>269</v>
      </c>
      <c r="D233" s="9" t="s">
        <v>591</v>
      </c>
      <c r="E233" s="9">
        <v>1</v>
      </c>
      <c r="F233" s="9">
        <v>1</v>
      </c>
      <c r="G233" s="10"/>
      <c r="H233" s="11"/>
      <c r="I233" s="11" t="s">
        <v>578</v>
      </c>
      <c r="J233" s="11" t="s">
        <v>579</v>
      </c>
      <c r="K233" s="11" t="s">
        <v>579</v>
      </c>
      <c r="L233" s="12"/>
      <c r="M233" s="12"/>
    </row>
    <row r="234" spans="1:14">
      <c r="A234" s="4" t="s">
        <v>470</v>
      </c>
      <c r="B234" s="9" t="s">
        <v>471</v>
      </c>
      <c r="C234" s="9" t="s">
        <v>269</v>
      </c>
      <c r="D234" s="9" t="s">
        <v>593</v>
      </c>
      <c r="E234" s="9">
        <v>1</v>
      </c>
      <c r="F234" s="9">
        <v>1</v>
      </c>
      <c r="G234" s="10">
        <v>1760133.01</v>
      </c>
      <c r="H234" s="11" t="s">
        <v>586</v>
      </c>
      <c r="I234" s="11" t="s">
        <v>578</v>
      </c>
      <c r="J234" s="11" t="s">
        <v>579</v>
      </c>
      <c r="K234" s="11" t="s">
        <v>579</v>
      </c>
      <c r="L234" s="12"/>
      <c r="M234" s="12"/>
    </row>
    <row r="235" spans="1:14">
      <c r="A235" s="4" t="s">
        <v>472</v>
      </c>
      <c r="B235" s="9" t="s">
        <v>473</v>
      </c>
      <c r="C235" s="9" t="s">
        <v>269</v>
      </c>
      <c r="D235" s="9" t="s">
        <v>591</v>
      </c>
      <c r="E235" s="9">
        <v>1</v>
      </c>
      <c r="F235" s="9">
        <v>2</v>
      </c>
      <c r="G235" s="10">
        <v>1257973.74</v>
      </c>
      <c r="H235" s="11" t="s">
        <v>586</v>
      </c>
      <c r="I235" s="11" t="s">
        <v>578</v>
      </c>
      <c r="J235" s="11" t="s">
        <v>579</v>
      </c>
      <c r="K235" s="11" t="s">
        <v>581</v>
      </c>
      <c r="L235" s="12"/>
      <c r="M235" s="12"/>
    </row>
    <row r="236" spans="1:14">
      <c r="A236" s="4" t="s">
        <v>474</v>
      </c>
      <c r="B236" s="9" t="s">
        <v>475</v>
      </c>
      <c r="C236" s="9" t="s">
        <v>269</v>
      </c>
      <c r="D236" s="9" t="s">
        <v>591</v>
      </c>
      <c r="E236" s="9">
        <v>1</v>
      </c>
      <c r="F236" s="9">
        <v>3</v>
      </c>
      <c r="G236" s="10">
        <v>379030.56</v>
      </c>
      <c r="H236" s="11" t="s">
        <v>586</v>
      </c>
      <c r="I236" s="11" t="s">
        <v>578</v>
      </c>
      <c r="J236" s="11" t="s">
        <v>579</v>
      </c>
      <c r="K236" s="11" t="s">
        <v>581</v>
      </c>
      <c r="L236" s="12"/>
      <c r="M236" s="12"/>
    </row>
    <row r="237" spans="1:14">
      <c r="A237" s="4" t="s">
        <v>476</v>
      </c>
      <c r="B237" s="9" t="s">
        <v>477</v>
      </c>
      <c r="C237" s="9" t="s">
        <v>269</v>
      </c>
      <c r="D237" s="9" t="s">
        <v>590</v>
      </c>
      <c r="E237" s="9">
        <v>1</v>
      </c>
      <c r="F237" s="9">
        <v>2</v>
      </c>
      <c r="G237" s="10">
        <v>204923.67</v>
      </c>
      <c r="H237" s="11"/>
      <c r="I237" s="11" t="s">
        <v>578</v>
      </c>
      <c r="J237" s="11" t="s">
        <v>579</v>
      </c>
      <c r="K237" s="11" t="s">
        <v>579</v>
      </c>
      <c r="L237" s="12"/>
      <c r="M237" s="12"/>
      <c r="N237" t="str">
        <f>IFERROR(VLOOKUP(A237,[1]Worksheet!A:B,2,FALSE),"")</f>
        <v/>
      </c>
    </row>
    <row r="238" spans="1:14">
      <c r="A238" s="4" t="s">
        <v>478</v>
      </c>
      <c r="B238" s="9" t="s">
        <v>479</v>
      </c>
      <c r="C238" s="9" t="s">
        <v>269</v>
      </c>
      <c r="D238" s="9" t="s">
        <v>593</v>
      </c>
      <c r="E238" s="9">
        <v>2</v>
      </c>
      <c r="F238" s="9">
        <v>1</v>
      </c>
      <c r="G238" s="10">
        <v>1122082.8399999999</v>
      </c>
      <c r="H238" s="11" t="s">
        <v>586</v>
      </c>
      <c r="I238" s="11" t="s">
        <v>578</v>
      </c>
      <c r="J238" s="11" t="s">
        <v>579</v>
      </c>
      <c r="K238" s="11" t="s">
        <v>579</v>
      </c>
      <c r="L238" s="12"/>
      <c r="M238" s="12"/>
    </row>
    <row r="239" spans="1:14">
      <c r="A239" s="4" t="s">
        <v>480</v>
      </c>
      <c r="B239" s="9" t="s">
        <v>481</v>
      </c>
      <c r="C239" s="9" t="s">
        <v>269</v>
      </c>
      <c r="D239" s="9" t="s">
        <v>592</v>
      </c>
      <c r="E239" s="9">
        <v>1</v>
      </c>
      <c r="F239" s="9">
        <v>3</v>
      </c>
      <c r="G239" s="10">
        <v>2299531.8999999994</v>
      </c>
      <c r="H239" s="11" t="s">
        <v>586</v>
      </c>
      <c r="I239" s="11" t="s">
        <v>578</v>
      </c>
      <c r="J239" s="11" t="s">
        <v>579</v>
      </c>
      <c r="K239" s="11" t="s">
        <v>579</v>
      </c>
      <c r="L239" s="12"/>
      <c r="M239" s="12"/>
    </row>
    <row r="240" spans="1:14">
      <c r="A240" s="4" t="s">
        <v>482</v>
      </c>
      <c r="B240" s="9" t="s">
        <v>483</v>
      </c>
      <c r="C240" s="9" t="s">
        <v>269</v>
      </c>
      <c r="D240" s="9" t="s">
        <v>592</v>
      </c>
      <c r="E240" s="9">
        <v>1</v>
      </c>
      <c r="F240" s="9">
        <v>2</v>
      </c>
      <c r="G240" s="10">
        <v>573179.44999999995</v>
      </c>
      <c r="H240" s="11" t="s">
        <v>586</v>
      </c>
      <c r="I240" s="11" t="s">
        <v>578</v>
      </c>
      <c r="J240" s="11" t="s">
        <v>579</v>
      </c>
      <c r="K240" s="11" t="s">
        <v>579</v>
      </c>
      <c r="L240" s="12"/>
      <c r="M240" s="12"/>
    </row>
    <row r="241" spans="1:14">
      <c r="A241" s="4" t="s">
        <v>484</v>
      </c>
      <c r="B241" s="9" t="s">
        <v>485</v>
      </c>
      <c r="C241" s="9" t="s">
        <v>269</v>
      </c>
      <c r="D241" s="9" t="s">
        <v>592</v>
      </c>
      <c r="E241" s="9">
        <v>1</v>
      </c>
      <c r="F241" s="9">
        <v>1</v>
      </c>
      <c r="G241" s="10"/>
      <c r="H241" s="11"/>
      <c r="I241" s="11" t="s">
        <v>578</v>
      </c>
      <c r="J241" s="11" t="s">
        <v>579</v>
      </c>
      <c r="K241" s="11" t="s">
        <v>579</v>
      </c>
      <c r="L241" s="12"/>
      <c r="M241" s="12"/>
    </row>
    <row r="242" spans="1:14">
      <c r="A242" s="4" t="s">
        <v>486</v>
      </c>
      <c r="B242" s="9" t="s">
        <v>487</v>
      </c>
      <c r="C242" s="9" t="s">
        <v>269</v>
      </c>
      <c r="D242" s="9" t="s">
        <v>590</v>
      </c>
      <c r="E242" s="9">
        <v>1</v>
      </c>
      <c r="F242" s="9">
        <v>1</v>
      </c>
      <c r="G242" s="10">
        <v>55471.06</v>
      </c>
      <c r="H242" s="11"/>
      <c r="I242" s="11" t="s">
        <v>578</v>
      </c>
      <c r="J242" s="11" t="s">
        <v>579</v>
      </c>
      <c r="K242" s="11" t="s">
        <v>579</v>
      </c>
      <c r="L242" s="12"/>
      <c r="M242" s="12"/>
      <c r="N242" t="str">
        <f>IFERROR(VLOOKUP(A242,[1]Worksheet!A:B,2,FALSE),"")</f>
        <v/>
      </c>
    </row>
    <row r="243" spans="1:14">
      <c r="A243" s="4" t="s">
        <v>488</v>
      </c>
      <c r="B243" s="9" t="s">
        <v>489</v>
      </c>
      <c r="C243" s="9" t="s">
        <v>269</v>
      </c>
      <c r="D243" s="9" t="s">
        <v>591</v>
      </c>
      <c r="E243" s="9">
        <v>1</v>
      </c>
      <c r="F243" s="9">
        <v>1</v>
      </c>
      <c r="G243" s="10">
        <v>469206.24</v>
      </c>
      <c r="H243" s="11"/>
      <c r="I243" s="11" t="s">
        <v>578</v>
      </c>
      <c r="J243" s="11" t="s">
        <v>579</v>
      </c>
      <c r="K243" s="11" t="s">
        <v>579</v>
      </c>
      <c r="L243" s="12"/>
      <c r="M243" s="12"/>
    </row>
    <row r="244" spans="1:14">
      <c r="A244" s="4" t="s">
        <v>490</v>
      </c>
      <c r="B244" s="9" t="s">
        <v>491</v>
      </c>
      <c r="C244" s="9" t="s">
        <v>269</v>
      </c>
      <c r="D244" s="9" t="s">
        <v>590</v>
      </c>
      <c r="E244" s="9">
        <v>1</v>
      </c>
      <c r="F244" s="9">
        <v>1</v>
      </c>
      <c r="G244" s="10">
        <v>153658.29999999999</v>
      </c>
      <c r="H244" s="11"/>
      <c r="I244" s="11" t="s">
        <v>578</v>
      </c>
      <c r="J244" s="11" t="s">
        <v>579</v>
      </c>
      <c r="K244" s="11" t="s">
        <v>579</v>
      </c>
      <c r="L244" s="12">
        <v>960</v>
      </c>
      <c r="M244" s="12"/>
      <c r="N244" t="str">
        <f>IFERROR(VLOOKUP(A244,[1]Worksheet!A:B,2,FALSE),"")</f>
        <v>R$ 960,00</v>
      </c>
    </row>
    <row r="245" spans="1:14">
      <c r="A245" s="4" t="s">
        <v>492</v>
      </c>
      <c r="B245" s="9" t="s">
        <v>493</v>
      </c>
      <c r="C245" s="9" t="s">
        <v>269</v>
      </c>
      <c r="D245" s="9" t="s">
        <v>591</v>
      </c>
      <c r="E245" s="9"/>
      <c r="F245" s="9"/>
      <c r="G245" s="10"/>
      <c r="H245" s="11"/>
      <c r="I245" s="11" t="s">
        <v>578</v>
      </c>
      <c r="J245" s="11" t="s">
        <v>579</v>
      </c>
      <c r="K245" s="11" t="s">
        <v>579</v>
      </c>
      <c r="L245" s="12"/>
      <c r="M245" s="12"/>
    </row>
    <row r="246" spans="1:14">
      <c r="A246" s="4" t="s">
        <v>494</v>
      </c>
      <c r="B246" s="9" t="s">
        <v>495</v>
      </c>
      <c r="C246" s="9" t="s">
        <v>269</v>
      </c>
      <c r="D246" s="9" t="s">
        <v>590</v>
      </c>
      <c r="E246" s="9">
        <v>1</v>
      </c>
      <c r="F246" s="9">
        <v>3</v>
      </c>
      <c r="G246" s="10"/>
      <c r="H246" s="11" t="s">
        <v>586</v>
      </c>
      <c r="I246" s="11" t="s">
        <v>578</v>
      </c>
      <c r="J246" s="11" t="s">
        <v>579</v>
      </c>
      <c r="K246" s="11" t="s">
        <v>581</v>
      </c>
      <c r="L246" s="12"/>
      <c r="M246" s="12"/>
      <c r="N246" t="str">
        <f>IFERROR(VLOOKUP(A246,[1]Worksheet!A:B,2,FALSE),"")</f>
        <v/>
      </c>
    </row>
    <row r="247" spans="1:14">
      <c r="A247" s="4" t="s">
        <v>496</v>
      </c>
      <c r="B247" s="9" t="s">
        <v>497</v>
      </c>
      <c r="C247" s="9" t="s">
        <v>269</v>
      </c>
      <c r="D247" s="9" t="s">
        <v>591</v>
      </c>
      <c r="E247" s="9">
        <v>1</v>
      </c>
      <c r="F247" s="9">
        <v>1</v>
      </c>
      <c r="G247" s="10">
        <v>734453.5</v>
      </c>
      <c r="H247" s="11" t="s">
        <v>586</v>
      </c>
      <c r="I247" s="11" t="s">
        <v>578</v>
      </c>
      <c r="J247" s="11" t="s">
        <v>579</v>
      </c>
      <c r="K247" s="11" t="s">
        <v>579</v>
      </c>
      <c r="L247" s="12"/>
      <c r="M247" s="12"/>
    </row>
    <row r="248" spans="1:14">
      <c r="A248" s="4" t="s">
        <v>498</v>
      </c>
      <c r="B248" s="9" t="s">
        <v>499</v>
      </c>
      <c r="C248" s="9" t="s">
        <v>269</v>
      </c>
      <c r="D248" s="9" t="s">
        <v>590</v>
      </c>
      <c r="E248" s="9">
        <v>1</v>
      </c>
      <c r="F248" s="9">
        <v>2</v>
      </c>
      <c r="G248" s="10">
        <v>1677148.29</v>
      </c>
      <c r="H248" s="11" t="s">
        <v>586</v>
      </c>
      <c r="I248" s="11" t="s">
        <v>578</v>
      </c>
      <c r="J248" s="11" t="s">
        <v>579</v>
      </c>
      <c r="K248" s="11" t="s">
        <v>581</v>
      </c>
      <c r="L248" s="12"/>
      <c r="M248" s="12"/>
      <c r="N248" t="str">
        <f>IFERROR(VLOOKUP(A248,[1]Worksheet!A:B,2,FALSE),"")</f>
        <v/>
      </c>
    </row>
    <row r="249" spans="1:14">
      <c r="A249" s="4" t="s">
        <v>500</v>
      </c>
      <c r="B249" s="9" t="s">
        <v>501</v>
      </c>
      <c r="C249" s="9" t="s">
        <v>269</v>
      </c>
      <c r="D249" s="9" t="s">
        <v>591</v>
      </c>
      <c r="E249" s="9">
        <v>1</v>
      </c>
      <c r="F249" s="9">
        <v>2</v>
      </c>
      <c r="G249" s="10">
        <v>471613</v>
      </c>
      <c r="H249" s="11" t="s">
        <v>586</v>
      </c>
      <c r="I249" s="11" t="s">
        <v>578</v>
      </c>
      <c r="J249" s="11" t="s">
        <v>579</v>
      </c>
      <c r="K249" s="11" t="s">
        <v>579</v>
      </c>
      <c r="L249" s="12"/>
      <c r="M249" s="12"/>
    </row>
    <row r="250" spans="1:14">
      <c r="A250" s="4" t="s">
        <v>502</v>
      </c>
      <c r="B250" s="9" t="s">
        <v>503</v>
      </c>
      <c r="C250" s="9" t="s">
        <v>269</v>
      </c>
      <c r="D250" s="9" t="s">
        <v>590</v>
      </c>
      <c r="E250" s="9">
        <v>1</v>
      </c>
      <c r="F250" s="9">
        <v>3</v>
      </c>
      <c r="G250" s="10">
        <v>922851.75000000012</v>
      </c>
      <c r="H250" s="11" t="s">
        <v>586</v>
      </c>
      <c r="I250" s="11" t="s">
        <v>578</v>
      </c>
      <c r="J250" s="11" t="s">
        <v>579</v>
      </c>
      <c r="K250" s="11" t="s">
        <v>581</v>
      </c>
      <c r="L250" s="12"/>
      <c r="M250" s="12"/>
      <c r="N250" t="str">
        <f>IFERROR(VLOOKUP(A250,[1]Worksheet!A:B,2,FALSE),"")</f>
        <v/>
      </c>
    </row>
    <row r="251" spans="1:14">
      <c r="A251" s="4" t="s">
        <v>504</v>
      </c>
      <c r="B251" s="9" t="s">
        <v>505</v>
      </c>
      <c r="C251" s="9" t="s">
        <v>269</v>
      </c>
      <c r="D251" s="9" t="s">
        <v>590</v>
      </c>
      <c r="E251" s="9">
        <v>1</v>
      </c>
      <c r="F251" s="9">
        <v>1</v>
      </c>
      <c r="G251" s="10">
        <v>128421.94999999998</v>
      </c>
      <c r="H251" s="11"/>
      <c r="I251" s="11" t="s">
        <v>578</v>
      </c>
      <c r="J251" s="11" t="s">
        <v>579</v>
      </c>
      <c r="K251" s="11" t="s">
        <v>579</v>
      </c>
      <c r="L251" s="12">
        <v>458</v>
      </c>
      <c r="M251" s="12"/>
      <c r="N251" t="str">
        <f>IFERROR(VLOOKUP(A251,[1]Worksheet!A:B,2,FALSE),"")</f>
        <v>R$ 458,00</v>
      </c>
    </row>
    <row r="252" spans="1:14">
      <c r="A252" s="16" t="s">
        <v>506</v>
      </c>
      <c r="B252" s="17" t="s">
        <v>507</v>
      </c>
      <c r="C252" s="17" t="s">
        <v>269</v>
      </c>
      <c r="D252" s="17" t="s">
        <v>590</v>
      </c>
      <c r="E252" s="17">
        <v>1</v>
      </c>
      <c r="F252" s="17">
        <v>1</v>
      </c>
      <c r="G252" s="18">
        <v>378732</v>
      </c>
      <c r="H252" s="19"/>
      <c r="I252" s="19" t="s">
        <v>578</v>
      </c>
      <c r="J252" s="19" t="s">
        <v>579</v>
      </c>
      <c r="K252" s="19" t="s">
        <v>579</v>
      </c>
      <c r="L252" s="22">
        <v>757</v>
      </c>
      <c r="M252" s="22">
        <v>480</v>
      </c>
      <c r="N252" t="str">
        <f>IFERROR(VLOOKUP(A252,[1]Worksheet!A:B,2,FALSE),"")</f>
        <v/>
      </c>
    </row>
    <row r="253" spans="1:14">
      <c r="A253" s="4" t="s">
        <v>508</v>
      </c>
      <c r="B253" s="9" t="s">
        <v>509</v>
      </c>
      <c r="C253" s="9" t="s">
        <v>269</v>
      </c>
      <c r="D253" s="9" t="s">
        <v>593</v>
      </c>
      <c r="E253" s="9">
        <v>1</v>
      </c>
      <c r="F253" s="9">
        <v>1</v>
      </c>
      <c r="G253" s="10">
        <v>1664397.6899999997</v>
      </c>
      <c r="H253" s="11" t="s">
        <v>586</v>
      </c>
      <c r="I253" s="11" t="s">
        <v>578</v>
      </c>
      <c r="J253" s="11" t="s">
        <v>579</v>
      </c>
      <c r="K253" s="11" t="s">
        <v>579</v>
      </c>
      <c r="L253" s="12"/>
      <c r="M253" s="12"/>
    </row>
    <row r="254" spans="1:14">
      <c r="A254" s="4" t="s">
        <v>510</v>
      </c>
      <c r="B254" s="9" t="s">
        <v>511</v>
      </c>
      <c r="C254" s="9" t="s">
        <v>269</v>
      </c>
      <c r="D254" s="9" t="s">
        <v>591</v>
      </c>
      <c r="E254" s="9">
        <v>1</v>
      </c>
      <c r="F254" s="9">
        <v>1</v>
      </c>
      <c r="G254" s="10">
        <v>8600</v>
      </c>
      <c r="H254" s="11"/>
      <c r="I254" s="11" t="s">
        <v>578</v>
      </c>
      <c r="J254" s="11" t="s">
        <v>579</v>
      </c>
      <c r="K254" s="11" t="s">
        <v>579</v>
      </c>
      <c r="L254" s="12"/>
      <c r="M254" s="12"/>
    </row>
    <row r="255" spans="1:14">
      <c r="A255" s="4" t="s">
        <v>512</v>
      </c>
      <c r="B255" s="9" t="s">
        <v>513</v>
      </c>
      <c r="C255" s="9" t="s">
        <v>269</v>
      </c>
      <c r="D255" s="9" t="s">
        <v>590</v>
      </c>
      <c r="E255" s="9">
        <v>1</v>
      </c>
      <c r="F255" s="9">
        <v>1</v>
      </c>
      <c r="G255" s="10">
        <v>53765.2</v>
      </c>
      <c r="H255" s="11"/>
      <c r="I255" s="11" t="s">
        <v>578</v>
      </c>
      <c r="J255" s="11" t="s">
        <v>579</v>
      </c>
      <c r="K255" s="11" t="s">
        <v>579</v>
      </c>
      <c r="L255" s="12">
        <v>426</v>
      </c>
      <c r="M255" s="12"/>
      <c r="N255" t="str">
        <f>IFERROR(VLOOKUP(A255,[1]Worksheet!A:B,2,FALSE),"")</f>
        <v>R$ 426,00</v>
      </c>
    </row>
    <row r="256" spans="1:14">
      <c r="A256" s="4" t="s">
        <v>514</v>
      </c>
      <c r="B256" s="9" t="s">
        <v>515</v>
      </c>
      <c r="C256" s="9" t="s">
        <v>269</v>
      </c>
      <c r="D256" s="9" t="s">
        <v>593</v>
      </c>
      <c r="E256" s="9">
        <v>1</v>
      </c>
      <c r="F256" s="9">
        <v>1</v>
      </c>
      <c r="G256" s="10">
        <v>133090</v>
      </c>
      <c r="H256" s="11"/>
      <c r="I256" s="11" t="s">
        <v>578</v>
      </c>
      <c r="J256" s="11" t="s">
        <v>579</v>
      </c>
      <c r="K256" s="11" t="s">
        <v>579</v>
      </c>
      <c r="L256" s="12"/>
      <c r="M256" s="12"/>
    </row>
    <row r="257" spans="1:13">
      <c r="A257" s="4" t="s">
        <v>516</v>
      </c>
      <c r="B257" s="9" t="s">
        <v>517</v>
      </c>
      <c r="C257" s="9" t="s">
        <v>269</v>
      </c>
      <c r="D257" s="9" t="s">
        <v>592</v>
      </c>
      <c r="E257" s="9">
        <v>1</v>
      </c>
      <c r="F257" s="9">
        <v>1</v>
      </c>
      <c r="G257" s="10">
        <v>27796.98</v>
      </c>
      <c r="H257" s="11"/>
      <c r="I257" s="11" t="s">
        <v>578</v>
      </c>
      <c r="J257" s="11" t="s">
        <v>579</v>
      </c>
      <c r="K257" s="11" t="s">
        <v>579</v>
      </c>
      <c r="L257" s="12"/>
      <c r="M257" s="12"/>
    </row>
    <row r="258" spans="1:13">
      <c r="A258" s="4" t="s">
        <v>518</v>
      </c>
      <c r="B258" s="9" t="s">
        <v>519</v>
      </c>
      <c r="C258" s="9" t="s">
        <v>269</v>
      </c>
      <c r="D258" s="9" t="s">
        <v>591</v>
      </c>
      <c r="E258" s="9"/>
      <c r="F258" s="9"/>
      <c r="G258" s="10"/>
      <c r="H258" s="11"/>
      <c r="I258" s="11" t="s">
        <v>578</v>
      </c>
      <c r="J258" s="11" t="s">
        <v>579</v>
      </c>
      <c r="K258" s="11" t="s">
        <v>579</v>
      </c>
      <c r="L258" s="12"/>
      <c r="M258" s="12"/>
    </row>
    <row r="259" spans="1:13">
      <c r="A259" s="4" t="s">
        <v>520</v>
      </c>
      <c r="B259" s="9" t="s">
        <v>521</v>
      </c>
      <c r="C259" s="9" t="s">
        <v>269</v>
      </c>
      <c r="D259" s="9" t="s">
        <v>593</v>
      </c>
      <c r="E259" s="9">
        <v>1</v>
      </c>
      <c r="F259" s="9">
        <v>4</v>
      </c>
      <c r="G259" s="10">
        <v>2510951.71</v>
      </c>
      <c r="H259" s="11" t="s">
        <v>586</v>
      </c>
      <c r="I259" s="11" t="s">
        <v>578</v>
      </c>
      <c r="J259" s="11" t="s">
        <v>579</v>
      </c>
      <c r="K259" s="11" t="s">
        <v>581</v>
      </c>
      <c r="L259" s="12"/>
      <c r="M259" s="12"/>
    </row>
    <row r="260" spans="1:13">
      <c r="A260" s="4" t="s">
        <v>522</v>
      </c>
      <c r="B260" s="9" t="s">
        <v>523</v>
      </c>
      <c r="C260" s="9" t="s">
        <v>269</v>
      </c>
      <c r="D260" s="9" t="s">
        <v>591</v>
      </c>
      <c r="E260" s="9">
        <v>1</v>
      </c>
      <c r="F260" s="9">
        <v>2</v>
      </c>
      <c r="G260" s="10">
        <v>4421571.2</v>
      </c>
      <c r="H260" s="11"/>
      <c r="I260" s="11" t="s">
        <v>578</v>
      </c>
      <c r="J260" s="11" t="s">
        <v>579</v>
      </c>
      <c r="K260" s="11" t="s">
        <v>579</v>
      </c>
      <c r="L260" s="12"/>
      <c r="M260" s="12"/>
    </row>
    <row r="261" spans="1:13">
      <c r="A261" s="4" t="s">
        <v>524</v>
      </c>
      <c r="B261" s="9" t="s">
        <v>525</v>
      </c>
      <c r="C261" s="9" t="s">
        <v>269</v>
      </c>
      <c r="D261" s="9" t="s">
        <v>591</v>
      </c>
      <c r="E261" s="9">
        <v>1</v>
      </c>
      <c r="F261" s="9">
        <v>1</v>
      </c>
      <c r="G261" s="10">
        <v>140333.32</v>
      </c>
      <c r="H261" s="11"/>
      <c r="I261" s="11" t="s">
        <v>578</v>
      </c>
      <c r="J261" s="11" t="s">
        <v>579</v>
      </c>
      <c r="K261" s="11" t="s">
        <v>579</v>
      </c>
      <c r="L261" s="12"/>
      <c r="M261" s="12"/>
    </row>
    <row r="262" spans="1:13">
      <c r="A262" s="4" t="s">
        <v>526</v>
      </c>
      <c r="B262" s="9" t="s">
        <v>527</v>
      </c>
      <c r="C262" s="9" t="s">
        <v>269</v>
      </c>
      <c r="D262" s="9" t="s">
        <v>591</v>
      </c>
      <c r="E262" s="9">
        <v>2</v>
      </c>
      <c r="F262" s="9">
        <v>1</v>
      </c>
      <c r="G262" s="10">
        <v>275500</v>
      </c>
      <c r="H262" s="11"/>
      <c r="I262" s="11" t="s">
        <v>578</v>
      </c>
      <c r="J262" s="11" t="s">
        <v>579</v>
      </c>
      <c r="K262" s="11" t="s">
        <v>579</v>
      </c>
      <c r="L262" s="12"/>
      <c r="M262" s="12"/>
    </row>
    <row r="263" spans="1:13">
      <c r="A263" s="4" t="s">
        <v>528</v>
      </c>
      <c r="B263" s="9" t="s">
        <v>529</v>
      </c>
      <c r="C263" s="9" t="s">
        <v>269</v>
      </c>
      <c r="D263" s="9" t="s">
        <v>592</v>
      </c>
      <c r="E263" s="9">
        <v>1</v>
      </c>
      <c r="F263" s="9">
        <v>1</v>
      </c>
      <c r="G263" s="10">
        <v>105671.69999999998</v>
      </c>
      <c r="H263" s="11"/>
      <c r="I263" s="11" t="s">
        <v>578</v>
      </c>
      <c r="J263" s="11" t="s">
        <v>579</v>
      </c>
      <c r="K263" s="11" t="s">
        <v>579</v>
      </c>
      <c r="L263" s="12"/>
      <c r="M263" s="12"/>
    </row>
    <row r="264" spans="1:13">
      <c r="A264" s="4" t="s">
        <v>530</v>
      </c>
      <c r="B264" s="9" t="s">
        <v>531</v>
      </c>
      <c r="C264" s="9" t="s">
        <v>269</v>
      </c>
      <c r="D264" s="9" t="s">
        <v>592</v>
      </c>
      <c r="E264" s="9">
        <v>2</v>
      </c>
      <c r="F264" s="9">
        <v>2</v>
      </c>
      <c r="G264" s="10">
        <v>1374879.03</v>
      </c>
      <c r="H264" s="11"/>
      <c r="I264" s="11" t="s">
        <v>578</v>
      </c>
      <c r="J264" s="11" t="s">
        <v>579</v>
      </c>
      <c r="K264" s="11" t="s">
        <v>579</v>
      </c>
      <c r="L264" s="12"/>
      <c r="M264" s="12"/>
    </row>
    <row r="265" spans="1:13">
      <c r="A265" s="4" t="s">
        <v>532</v>
      </c>
      <c r="B265" s="9" t="s">
        <v>533</v>
      </c>
      <c r="C265" s="9" t="s">
        <v>269</v>
      </c>
      <c r="D265" s="9" t="s">
        <v>591</v>
      </c>
      <c r="E265" s="9">
        <v>1</v>
      </c>
      <c r="F265" s="9">
        <v>2</v>
      </c>
      <c r="G265" s="10">
        <v>191205.39</v>
      </c>
      <c r="H265" s="11" t="s">
        <v>586</v>
      </c>
      <c r="I265" s="11" t="s">
        <v>578</v>
      </c>
      <c r="J265" s="11" t="s">
        <v>579</v>
      </c>
      <c r="K265" s="11" t="s">
        <v>579</v>
      </c>
      <c r="L265" s="12"/>
      <c r="M265" s="12"/>
    </row>
    <row r="266" spans="1:13">
      <c r="A266" s="4" t="s">
        <v>534</v>
      </c>
      <c r="B266" s="9" t="s">
        <v>535</v>
      </c>
      <c r="C266" s="9" t="s">
        <v>269</v>
      </c>
      <c r="D266" s="9" t="s">
        <v>591</v>
      </c>
      <c r="E266" s="9">
        <v>1</v>
      </c>
      <c r="F266" s="9">
        <v>2</v>
      </c>
      <c r="G266" s="10">
        <v>8400</v>
      </c>
      <c r="H266" s="11"/>
      <c r="I266" s="11" t="s">
        <v>578</v>
      </c>
      <c r="J266" s="11" t="s">
        <v>579</v>
      </c>
      <c r="K266" s="11" t="s">
        <v>579</v>
      </c>
      <c r="L266" s="12"/>
      <c r="M266" s="12"/>
    </row>
    <row r="267" spans="1:13">
      <c r="A267" s="4" t="s">
        <v>536</v>
      </c>
      <c r="B267" s="9" t="s">
        <v>537</v>
      </c>
      <c r="C267" s="9" t="s">
        <v>269</v>
      </c>
      <c r="D267" s="9" t="s">
        <v>591</v>
      </c>
      <c r="E267" s="9">
        <v>1</v>
      </c>
      <c r="F267" s="9">
        <v>1</v>
      </c>
      <c r="G267" s="10">
        <v>61030</v>
      </c>
      <c r="H267" s="11"/>
      <c r="I267" s="11" t="s">
        <v>578</v>
      </c>
      <c r="J267" s="11" t="s">
        <v>579</v>
      </c>
      <c r="K267" s="11" t="s">
        <v>579</v>
      </c>
      <c r="L267" s="12"/>
      <c r="M267" s="12"/>
    </row>
    <row r="268" spans="1:13">
      <c r="A268" s="16" t="s">
        <v>538</v>
      </c>
      <c r="B268" s="17" t="s">
        <v>539</v>
      </c>
      <c r="C268" s="17" t="s">
        <v>269</v>
      </c>
      <c r="D268" s="17" t="s">
        <v>593</v>
      </c>
      <c r="E268" s="17">
        <v>1</v>
      </c>
      <c r="F268" s="17">
        <v>2</v>
      </c>
      <c r="G268" s="18">
        <v>1010085.4</v>
      </c>
      <c r="H268" s="19">
        <v>4</v>
      </c>
      <c r="I268" s="19" t="s">
        <v>578</v>
      </c>
      <c r="J268" s="19" t="s">
        <v>579</v>
      </c>
      <c r="K268" s="19" t="s">
        <v>579</v>
      </c>
      <c r="L268" s="22">
        <v>1128</v>
      </c>
      <c r="M268" s="22">
        <v>960</v>
      </c>
    </row>
    <row r="269" spans="1:13">
      <c r="A269" s="4" t="s">
        <v>540</v>
      </c>
      <c r="B269" s="9" t="s">
        <v>541</v>
      </c>
      <c r="C269" s="9" t="s">
        <v>269</v>
      </c>
      <c r="D269" s="9" t="s">
        <v>591</v>
      </c>
      <c r="E269" s="9">
        <v>1</v>
      </c>
      <c r="F269" s="9">
        <v>3</v>
      </c>
      <c r="G269" s="10">
        <v>170600</v>
      </c>
      <c r="H269" s="11"/>
      <c r="I269" s="11" t="s">
        <v>578</v>
      </c>
      <c r="J269" s="11" t="s">
        <v>579</v>
      </c>
      <c r="K269" s="11" t="s">
        <v>579</v>
      </c>
      <c r="L269" s="12"/>
      <c r="M269" s="12"/>
    </row>
    <row r="270" spans="1:13">
      <c r="A270" s="16" t="s">
        <v>542</v>
      </c>
      <c r="B270" s="17" t="s">
        <v>543</v>
      </c>
      <c r="C270" s="17" t="s">
        <v>269</v>
      </c>
      <c r="D270" s="17" t="s">
        <v>593</v>
      </c>
      <c r="E270" s="17">
        <v>1</v>
      </c>
      <c r="F270" s="17">
        <v>4</v>
      </c>
      <c r="G270" s="18">
        <v>2040516.4599999997</v>
      </c>
      <c r="H270" s="19">
        <v>4</v>
      </c>
      <c r="I270" s="19" t="s">
        <v>578</v>
      </c>
      <c r="J270" s="19" t="s">
        <v>579</v>
      </c>
      <c r="K270" s="19" t="s">
        <v>581</v>
      </c>
      <c r="L270" s="22">
        <v>1870</v>
      </c>
      <c r="M270" s="22">
        <v>1650</v>
      </c>
    </row>
    <row r="271" spans="1:13">
      <c r="A271" s="4" t="s">
        <v>544</v>
      </c>
      <c r="B271" s="9" t="s">
        <v>545</v>
      </c>
      <c r="C271" s="9" t="s">
        <v>269</v>
      </c>
      <c r="D271" s="9" t="s">
        <v>591</v>
      </c>
      <c r="E271" s="9">
        <v>1</v>
      </c>
      <c r="F271" s="9">
        <v>2</v>
      </c>
      <c r="G271" s="10"/>
      <c r="H271" s="11" t="s">
        <v>586</v>
      </c>
      <c r="I271" s="11" t="s">
        <v>578</v>
      </c>
      <c r="J271" s="11" t="s">
        <v>579</v>
      </c>
      <c r="K271" s="11" t="s">
        <v>581</v>
      </c>
      <c r="L271" s="12"/>
      <c r="M271" s="12"/>
    </row>
    <row r="272" spans="1:13">
      <c r="A272" s="4" t="s">
        <v>546</v>
      </c>
      <c r="B272" s="9" t="s">
        <v>547</v>
      </c>
      <c r="C272" s="9" t="s">
        <v>269</v>
      </c>
      <c r="D272" s="9" t="s">
        <v>591</v>
      </c>
      <c r="E272" s="9">
        <v>1</v>
      </c>
      <c r="F272" s="9">
        <v>1</v>
      </c>
      <c r="G272" s="10">
        <v>1396117.2999999998</v>
      </c>
      <c r="H272" s="11" t="s">
        <v>586</v>
      </c>
      <c r="I272" s="11" t="s">
        <v>578</v>
      </c>
      <c r="J272" s="11" t="s">
        <v>579</v>
      </c>
      <c r="K272" s="11" t="s">
        <v>579</v>
      </c>
      <c r="L272" s="12"/>
      <c r="M272" s="12"/>
    </row>
    <row r="273" spans="1:14">
      <c r="A273" s="16" t="s">
        <v>548</v>
      </c>
      <c r="B273" s="17" t="s">
        <v>549</v>
      </c>
      <c r="C273" s="17" t="s">
        <v>269</v>
      </c>
      <c r="D273" s="17" t="s">
        <v>593</v>
      </c>
      <c r="E273" s="17">
        <v>1</v>
      </c>
      <c r="F273" s="17">
        <v>2</v>
      </c>
      <c r="G273" s="18">
        <v>762343.8</v>
      </c>
      <c r="H273" s="19">
        <v>3</v>
      </c>
      <c r="I273" s="19" t="s">
        <v>578</v>
      </c>
      <c r="J273" s="19" t="s">
        <v>579</v>
      </c>
      <c r="K273" s="19" t="s">
        <v>579</v>
      </c>
      <c r="L273" s="22">
        <v>1562</v>
      </c>
      <c r="M273" s="22">
        <v>720</v>
      </c>
    </row>
    <row r="274" spans="1:14">
      <c r="A274" s="16" t="s">
        <v>550</v>
      </c>
      <c r="B274" s="17" t="s">
        <v>551</v>
      </c>
      <c r="C274" s="17" t="s">
        <v>269</v>
      </c>
      <c r="D274" s="17" t="s">
        <v>590</v>
      </c>
      <c r="E274" s="17">
        <v>1</v>
      </c>
      <c r="F274" s="17">
        <v>1</v>
      </c>
      <c r="G274" s="18">
        <v>446579.06000000006</v>
      </c>
      <c r="H274" s="19"/>
      <c r="I274" s="19" t="s">
        <v>578</v>
      </c>
      <c r="J274" s="19" t="s">
        <v>579</v>
      </c>
      <c r="K274" s="19" t="s">
        <v>579</v>
      </c>
      <c r="L274" s="22">
        <v>597</v>
      </c>
      <c r="M274" s="22">
        <v>480</v>
      </c>
      <c r="N274" t="str">
        <f>IFERROR(VLOOKUP(A274,[1]Worksheet!A:B,2,FALSE),"")</f>
        <v/>
      </c>
    </row>
    <row r="275" spans="1:14">
      <c r="A275" s="4" t="s">
        <v>552</v>
      </c>
      <c r="B275" s="9" t="s">
        <v>553</v>
      </c>
      <c r="C275" s="9" t="s">
        <v>269</v>
      </c>
      <c r="D275" s="9" t="s">
        <v>590</v>
      </c>
      <c r="E275" s="9">
        <v>1</v>
      </c>
      <c r="F275" s="9">
        <v>4</v>
      </c>
      <c r="G275" s="10">
        <v>62897.350000000006</v>
      </c>
      <c r="H275" s="11"/>
      <c r="I275" s="11" t="s">
        <v>578</v>
      </c>
      <c r="J275" s="11" t="s">
        <v>579</v>
      </c>
      <c r="K275" s="11" t="s">
        <v>579</v>
      </c>
      <c r="L275" s="12">
        <v>532</v>
      </c>
      <c r="M275" s="12"/>
      <c r="N275" t="str">
        <f>IFERROR(VLOOKUP(A275,[1]Worksheet!A:B,2,FALSE),"")</f>
        <v>R$ 532,00</v>
      </c>
    </row>
    <row r="276" spans="1:14">
      <c r="A276" s="16" t="s">
        <v>554</v>
      </c>
      <c r="B276" s="17" t="s">
        <v>555</v>
      </c>
      <c r="C276" s="17" t="s">
        <v>269</v>
      </c>
      <c r="D276" s="17" t="s">
        <v>590</v>
      </c>
      <c r="E276" s="17">
        <v>1</v>
      </c>
      <c r="F276" s="17">
        <v>3</v>
      </c>
      <c r="G276" s="18">
        <v>73520</v>
      </c>
      <c r="H276" s="19"/>
      <c r="I276" s="19" t="s">
        <v>578</v>
      </c>
      <c r="J276" s="19" t="s">
        <v>579</v>
      </c>
      <c r="K276" s="19" t="s">
        <v>579</v>
      </c>
      <c r="L276" s="22">
        <v>725</v>
      </c>
      <c r="M276" s="22">
        <v>480</v>
      </c>
      <c r="N276" t="str">
        <f>IFERROR(VLOOKUP(A276,[1]Worksheet!A:B,2,FALSE),"")</f>
        <v/>
      </c>
    </row>
    <row r="277" spans="1:14">
      <c r="A277" s="16" t="s">
        <v>556</v>
      </c>
      <c r="B277" s="17" t="s">
        <v>557</v>
      </c>
      <c r="C277" s="17" t="s">
        <v>269</v>
      </c>
      <c r="D277" s="17" t="s">
        <v>590</v>
      </c>
      <c r="E277" s="17">
        <v>1</v>
      </c>
      <c r="F277" s="17">
        <v>2</v>
      </c>
      <c r="G277" s="18">
        <v>237998.96999999997</v>
      </c>
      <c r="H277" s="19">
        <v>1</v>
      </c>
      <c r="I277" s="19" t="s">
        <v>578</v>
      </c>
      <c r="J277" s="19" t="s">
        <v>579</v>
      </c>
      <c r="K277" s="19" t="s">
        <v>581</v>
      </c>
      <c r="L277" s="22">
        <v>796</v>
      </c>
      <c r="M277" s="22">
        <v>540</v>
      </c>
      <c r="N277" t="str">
        <f>IFERROR(VLOOKUP(A277,[1]Worksheet!A:B,2,FALSE),"")</f>
        <v>R$ 796,00</v>
      </c>
    </row>
    <row r="278" spans="1:14">
      <c r="A278" s="16" t="s">
        <v>558</v>
      </c>
      <c r="B278" s="17" t="s">
        <v>559</v>
      </c>
      <c r="C278" s="17" t="s">
        <v>269</v>
      </c>
      <c r="D278" s="17" t="s">
        <v>590</v>
      </c>
      <c r="E278" s="17">
        <v>1</v>
      </c>
      <c r="F278" s="17">
        <v>1</v>
      </c>
      <c r="G278" s="18">
        <v>126199.15</v>
      </c>
      <c r="H278" s="19"/>
      <c r="I278" s="19" t="s">
        <v>578</v>
      </c>
      <c r="J278" s="19" t="s">
        <v>579</v>
      </c>
      <c r="K278" s="19" t="s">
        <v>579</v>
      </c>
      <c r="L278" s="22">
        <v>426</v>
      </c>
      <c r="M278" s="22">
        <v>480</v>
      </c>
      <c r="N278" t="str">
        <f>IFERROR(VLOOKUP(A278,[1]Worksheet!A:B,2,FALSE),"")</f>
        <v>R$ 426,00</v>
      </c>
    </row>
    <row r="279" spans="1:14">
      <c r="A279" s="4" t="s">
        <v>560</v>
      </c>
      <c r="B279" s="9" t="s">
        <v>561</v>
      </c>
      <c r="C279" s="9" t="s">
        <v>269</v>
      </c>
      <c r="D279" s="9" t="s">
        <v>591</v>
      </c>
      <c r="E279" s="9">
        <v>1</v>
      </c>
      <c r="F279" s="9">
        <v>2</v>
      </c>
      <c r="G279" s="10">
        <v>70834</v>
      </c>
      <c r="H279" s="11" t="s">
        <v>586</v>
      </c>
      <c r="I279" s="11" t="s">
        <v>578</v>
      </c>
      <c r="J279" s="11" t="s">
        <v>579</v>
      </c>
      <c r="K279" s="11" t="s">
        <v>579</v>
      </c>
      <c r="L279" s="12"/>
      <c r="M279" s="12"/>
    </row>
    <row r="280" spans="1:14">
      <c r="A280" s="4" t="s">
        <v>584</v>
      </c>
      <c r="B280" s="9" t="s">
        <v>562</v>
      </c>
      <c r="C280" s="9" t="s">
        <v>269</v>
      </c>
      <c r="D280" s="9" t="s">
        <v>593</v>
      </c>
      <c r="E280" s="9">
        <v>1</v>
      </c>
      <c r="F280" s="9">
        <v>2</v>
      </c>
      <c r="G280" s="10">
        <v>339883.95999999996</v>
      </c>
      <c r="H280" s="11"/>
      <c r="I280" s="11" t="s">
        <v>578</v>
      </c>
      <c r="J280" s="11" t="s">
        <v>579</v>
      </c>
      <c r="K280" s="11" t="s">
        <v>579</v>
      </c>
      <c r="L280" s="12"/>
      <c r="M280" s="12"/>
    </row>
    <row r="281" spans="1:14">
      <c r="A281" s="4" t="s">
        <v>563</v>
      </c>
      <c r="B281" s="9" t="s">
        <v>564</v>
      </c>
      <c r="C281" s="9" t="s">
        <v>269</v>
      </c>
      <c r="D281" s="9" t="s">
        <v>591</v>
      </c>
      <c r="E281" s="9">
        <v>1</v>
      </c>
      <c r="F281" s="9">
        <v>1</v>
      </c>
      <c r="G281" s="10">
        <v>88941</v>
      </c>
      <c r="H281" s="11"/>
      <c r="I281" s="11" t="s">
        <v>578</v>
      </c>
      <c r="J281" s="11" t="s">
        <v>579</v>
      </c>
      <c r="K281" s="11" t="s">
        <v>579</v>
      </c>
      <c r="L281" s="12"/>
      <c r="M281" s="12"/>
    </row>
    <row r="282" spans="1:14">
      <c r="A282" s="16" t="s">
        <v>565</v>
      </c>
      <c r="B282" s="17" t="s">
        <v>566</v>
      </c>
      <c r="C282" s="17" t="s">
        <v>269</v>
      </c>
      <c r="D282" s="17" t="s">
        <v>590</v>
      </c>
      <c r="E282" s="17">
        <v>1</v>
      </c>
      <c r="F282" s="17">
        <v>2</v>
      </c>
      <c r="G282" s="18">
        <v>158200.54</v>
      </c>
      <c r="H282" s="19"/>
      <c r="I282" s="19" t="s">
        <v>578</v>
      </c>
      <c r="J282" s="19" t="s">
        <v>579</v>
      </c>
      <c r="K282" s="19" t="s">
        <v>579</v>
      </c>
      <c r="L282" s="22">
        <v>1594</v>
      </c>
      <c r="M282" s="22">
        <v>480</v>
      </c>
      <c r="N282" t="str">
        <f>IFERROR(VLOOKUP(A282,[1]Worksheet!A:B,2,FALSE),"")</f>
        <v/>
      </c>
    </row>
    <row r="283" spans="1:14">
      <c r="A283" s="4" t="s">
        <v>567</v>
      </c>
      <c r="B283" s="9" t="s">
        <v>568</v>
      </c>
      <c r="C283" s="9" t="s">
        <v>269</v>
      </c>
      <c r="D283" s="9" t="s">
        <v>591</v>
      </c>
      <c r="E283" s="9">
        <v>1</v>
      </c>
      <c r="F283" s="9">
        <v>1</v>
      </c>
      <c r="G283" s="10">
        <v>100363</v>
      </c>
      <c r="H283" s="11" t="s">
        <v>586</v>
      </c>
      <c r="I283" s="11" t="s">
        <v>578</v>
      </c>
      <c r="J283" s="11" t="s">
        <v>579</v>
      </c>
      <c r="K283" s="11" t="s">
        <v>579</v>
      </c>
      <c r="L283" s="12"/>
      <c r="M283" s="12"/>
    </row>
    <row r="284" spans="1:14">
      <c r="A284" s="4" t="s">
        <v>569</v>
      </c>
      <c r="B284" s="9" t="s">
        <v>570</v>
      </c>
      <c r="C284" s="9" t="s">
        <v>269</v>
      </c>
      <c r="D284" s="9" t="s">
        <v>591</v>
      </c>
      <c r="E284" s="9">
        <v>1</v>
      </c>
      <c r="F284" s="9">
        <v>2</v>
      </c>
      <c r="G284" s="10">
        <v>150788.07999999999</v>
      </c>
      <c r="H284" s="11"/>
      <c r="I284" s="11" t="s">
        <v>578</v>
      </c>
      <c r="J284" s="11" t="s">
        <v>579</v>
      </c>
      <c r="K284" s="11" t="s">
        <v>579</v>
      </c>
      <c r="L284" s="12"/>
      <c r="M284" s="12"/>
    </row>
    <row r="285" spans="1:14"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4"/>
      <c r="M285" s="14"/>
    </row>
    <row r="286" spans="1:14"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4"/>
      <c r="M286" s="14"/>
    </row>
    <row r="287" spans="1:14"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4"/>
      <c r="M287" s="14"/>
    </row>
    <row r="288" spans="1:14"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4"/>
      <c r="M288" s="14"/>
    </row>
    <row r="289" spans="2:13"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4"/>
      <c r="M289" s="14"/>
    </row>
    <row r="290" spans="2:13"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4"/>
      <c r="M290" s="14"/>
    </row>
    <row r="291" spans="2:13"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4"/>
      <c r="M291" s="14"/>
    </row>
    <row r="292" spans="2:13"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4"/>
      <c r="M292" s="14"/>
    </row>
    <row r="293" spans="2:13"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4"/>
      <c r="M293" s="14"/>
    </row>
    <row r="294" spans="2:13"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4"/>
      <c r="M294" s="14"/>
    </row>
    <row r="295" spans="2:13"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4"/>
      <c r="M295" s="14"/>
    </row>
    <row r="296" spans="2:13"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4"/>
      <c r="M296" s="14"/>
    </row>
    <row r="297" spans="2:13"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4"/>
      <c r="M297" s="14"/>
    </row>
    <row r="298" spans="2:13"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4"/>
      <c r="M298" s="14"/>
    </row>
    <row r="299" spans="2:13"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4"/>
      <c r="M299" s="14"/>
    </row>
    <row r="300" spans="2:13"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4"/>
      <c r="M300" s="14"/>
    </row>
    <row r="301" spans="2:13"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4"/>
      <c r="M301" s="14"/>
    </row>
    <row r="302" spans="2:13"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4"/>
      <c r="M302" s="14"/>
    </row>
    <row r="303" spans="2:13"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4"/>
      <c r="M303" s="14"/>
    </row>
    <row r="304" spans="2:13"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4"/>
      <c r="M304" s="14"/>
    </row>
    <row r="305" spans="2:13"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4"/>
      <c r="M305" s="14"/>
    </row>
    <row r="306" spans="2:13"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4"/>
      <c r="M306" s="14"/>
    </row>
    <row r="307" spans="2:13"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4"/>
      <c r="M307" s="14"/>
    </row>
    <row r="308" spans="2:13"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4"/>
      <c r="M308" s="14"/>
    </row>
    <row r="309" spans="2:13"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4"/>
      <c r="M309" s="14"/>
    </row>
    <row r="310" spans="2:13"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4"/>
      <c r="M310" s="14"/>
    </row>
    <row r="311" spans="2:13"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4"/>
      <c r="M311" s="14"/>
    </row>
    <row r="312" spans="2:13"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4"/>
      <c r="M312" s="14"/>
    </row>
    <row r="313" spans="2:13"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4"/>
      <c r="M313" s="14"/>
    </row>
    <row r="314" spans="2:13"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4"/>
      <c r="M314" s="14"/>
    </row>
    <row r="315" spans="2:13"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4"/>
      <c r="M315" s="14"/>
    </row>
    <row r="316" spans="2:13"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4"/>
      <c r="M316" s="14"/>
    </row>
    <row r="317" spans="2:13"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4"/>
      <c r="M317" s="14"/>
    </row>
    <row r="318" spans="2:13"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4"/>
      <c r="M318" s="14"/>
    </row>
    <row r="319" spans="2:13"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4"/>
      <c r="M319" s="14"/>
    </row>
    <row r="320" spans="2:13"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4"/>
      <c r="M320" s="14"/>
    </row>
    <row r="321" spans="2:13"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4"/>
      <c r="M321" s="14"/>
    </row>
    <row r="322" spans="2:13"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4"/>
      <c r="M322" s="14"/>
    </row>
    <row r="323" spans="2:13"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4"/>
      <c r="M323" s="14"/>
    </row>
    <row r="324" spans="2:13"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4"/>
      <c r="M324" s="14"/>
    </row>
    <row r="325" spans="2:13"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4"/>
      <c r="M325" s="14"/>
    </row>
    <row r="326" spans="2:13"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4"/>
      <c r="M326" s="14"/>
    </row>
    <row r="327" spans="2:13"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4"/>
      <c r="M327" s="14"/>
    </row>
    <row r="328" spans="2:13"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4"/>
      <c r="M328" s="14"/>
    </row>
    <row r="329" spans="2:13"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4"/>
      <c r="M329" s="14"/>
    </row>
    <row r="330" spans="2:13"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4"/>
      <c r="M330" s="14"/>
    </row>
    <row r="331" spans="2:13"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4"/>
      <c r="M331" s="14"/>
    </row>
    <row r="332" spans="2:13"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4"/>
      <c r="M332" s="14"/>
    </row>
    <row r="333" spans="2:13"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4"/>
      <c r="M333" s="14"/>
    </row>
    <row r="334" spans="2:13"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4"/>
      <c r="M334" s="14"/>
    </row>
    <row r="335" spans="2:13"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4"/>
      <c r="M335" s="14"/>
    </row>
    <row r="336" spans="2:13"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4"/>
      <c r="M336" s="14"/>
    </row>
    <row r="337" spans="2:13"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4"/>
      <c r="M337" s="14"/>
    </row>
    <row r="338" spans="2:13"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4"/>
      <c r="M338" s="14"/>
    </row>
    <row r="339" spans="2:13"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4"/>
      <c r="M339" s="14"/>
    </row>
    <row r="340" spans="2:13"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4"/>
      <c r="M340" s="14"/>
    </row>
    <row r="341" spans="2:13"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4"/>
      <c r="M341" s="14"/>
    </row>
    <row r="342" spans="2:13"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4"/>
      <c r="M342" s="14"/>
    </row>
    <row r="343" spans="2:13"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4"/>
      <c r="M343" s="14"/>
    </row>
    <row r="344" spans="2:13"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4"/>
      <c r="M344" s="14"/>
    </row>
    <row r="345" spans="2:13"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4"/>
      <c r="M345" s="14"/>
    </row>
    <row r="346" spans="2:13"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4"/>
      <c r="M346" s="14"/>
    </row>
    <row r="347" spans="2:13"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4"/>
      <c r="M347" s="14"/>
    </row>
    <row r="348" spans="2:13"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4"/>
      <c r="M348" s="14"/>
    </row>
    <row r="349" spans="2:13"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</row>
    <row r="350" spans="2:13"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</row>
    <row r="351" spans="2:13"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</row>
    <row r="352" spans="2:13"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</row>
    <row r="353" spans="2:13"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</row>
    <row r="354" spans="2:13"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</row>
    <row r="355" spans="2:13"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</row>
    <row r="356" spans="2:13"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</row>
    <row r="357" spans="2:13"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</row>
    <row r="358" spans="2:13"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</row>
    <row r="359" spans="2:13"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</row>
    <row r="360" spans="2:13"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</row>
    <row r="361" spans="2:13"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</row>
    <row r="362" spans="2:13"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</row>
    <row r="363" spans="2:13"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</row>
    <row r="364" spans="2:13"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</row>
    <row r="365" spans="2:13"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</row>
    <row r="366" spans="2:13"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</row>
    <row r="367" spans="2:13"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</row>
    <row r="368" spans="2:13"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</row>
    <row r="369" spans="2:13"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</row>
    <row r="370" spans="2:13"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</row>
    <row r="371" spans="2:13"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</row>
    <row r="372" spans="2:13"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</row>
    <row r="373" spans="2:13"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</row>
    <row r="374" spans="2:13"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</row>
    <row r="375" spans="2:13"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</row>
    <row r="376" spans="2:13"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</row>
    <row r="377" spans="2:13"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</row>
    <row r="378" spans="2:13"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</row>
    <row r="379" spans="2:13"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</row>
    <row r="380" spans="2:13"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</row>
    <row r="381" spans="2:13"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</row>
    <row r="382" spans="2:13"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</row>
    <row r="383" spans="2:13"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</row>
    <row r="384" spans="2:13"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</row>
    <row r="385" spans="2:13"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</row>
    <row r="386" spans="2:13"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</row>
    <row r="387" spans="2:13"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</row>
    <row r="388" spans="2:13"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</row>
    <row r="389" spans="2:13"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</row>
    <row r="390" spans="2:13"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</row>
    <row r="391" spans="2:13"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</row>
    <row r="392" spans="2:13"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</row>
    <row r="393" spans="2:13"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</row>
    <row r="394" spans="2:13"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</row>
    <row r="395" spans="2:13"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</row>
    <row r="396" spans="2:13"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</row>
    <row r="397" spans="2:13"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</row>
    <row r="398" spans="2:13"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</row>
    <row r="399" spans="2:13"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</row>
    <row r="400" spans="2:13"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</row>
    <row r="401" spans="2:13"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</row>
    <row r="402" spans="2:13"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</row>
    <row r="403" spans="2:13"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</row>
    <row r="404" spans="2:13"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</row>
    <row r="405" spans="2:13"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</row>
    <row r="406" spans="2:13"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</row>
    <row r="407" spans="2:13"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</row>
    <row r="408" spans="2:13"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</row>
    <row r="409" spans="2:13"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</row>
    <row r="410" spans="2:13"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</row>
    <row r="411" spans="2:13"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</row>
    <row r="412" spans="2:13"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</row>
    <row r="413" spans="2:13"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</row>
    <row r="414" spans="2:13"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</row>
    <row r="415" spans="2:13"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</row>
    <row r="416" spans="2:13"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</row>
    <row r="417" spans="2:13"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</row>
    <row r="418" spans="2:13"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</row>
    <row r="419" spans="2:13"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</row>
    <row r="420" spans="2:13"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</row>
    <row r="421" spans="2:13"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</row>
    <row r="422" spans="2:13"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</row>
    <row r="423" spans="2:13"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</row>
    <row r="424" spans="2:13"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</row>
    <row r="425" spans="2:13"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</row>
    <row r="426" spans="2:13"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</row>
    <row r="427" spans="2:13"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</row>
    <row r="428" spans="2:13"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</row>
    <row r="429" spans="2:13"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</row>
    <row r="430" spans="2:13"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</row>
    <row r="431" spans="2:13"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</row>
    <row r="432" spans="2:13"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</row>
    <row r="433" spans="2:13"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</row>
    <row r="434" spans="2:13"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</row>
    <row r="435" spans="2:13"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</row>
    <row r="436" spans="2:13"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</row>
    <row r="437" spans="2:13"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</row>
    <row r="438" spans="2:13"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</row>
    <row r="439" spans="2:13"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</row>
    <row r="440" spans="2:13"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</row>
    <row r="441" spans="2:13"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</row>
    <row r="442" spans="2:13"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</row>
    <row r="443" spans="2:13"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</row>
    <row r="444" spans="2:13"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</row>
    <row r="445" spans="2:13"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</row>
    <row r="446" spans="2:13"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</row>
    <row r="447" spans="2:13"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</row>
    <row r="448" spans="2:13"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</row>
    <row r="449" spans="2:13"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</row>
    <row r="450" spans="2:13"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</row>
    <row r="451" spans="2:13"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</row>
    <row r="452" spans="2:13"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</row>
    <row r="453" spans="2:13"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</row>
    <row r="454" spans="2:13"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</row>
    <row r="455" spans="2:13"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</row>
    <row r="456" spans="2:13"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</row>
    <row r="457" spans="2:13"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</row>
    <row r="458" spans="2:13"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</row>
    <row r="459" spans="2:13"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</row>
    <row r="460" spans="2:13"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</row>
    <row r="461" spans="2:13"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</row>
    <row r="462" spans="2:13"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</row>
    <row r="463" spans="2:13"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</row>
    <row r="464" spans="2:13"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</row>
    <row r="465" spans="2:13"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</row>
    <row r="466" spans="2:13"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</row>
    <row r="467" spans="2:13"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</row>
    <row r="468" spans="2:13"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</row>
    <row r="469" spans="2:13"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</row>
    <row r="470" spans="2:13"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</row>
    <row r="471" spans="2:13"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</row>
    <row r="472" spans="2:13"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</row>
    <row r="473" spans="2:13"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</row>
    <row r="474" spans="2:13"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</row>
    <row r="475" spans="2:13"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</row>
    <row r="476" spans="2:13"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</row>
    <row r="477" spans="2:13"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</row>
    <row r="478" spans="2:13"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</row>
    <row r="479" spans="2:13"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</row>
    <row r="480" spans="2:13"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</row>
    <row r="481" spans="2:13"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</row>
    <row r="482" spans="2:13"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</row>
    <row r="483" spans="2:13"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</row>
    <row r="484" spans="2:13"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</row>
    <row r="485" spans="2:13"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</row>
    <row r="486" spans="2:13"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</row>
    <row r="487" spans="2:13"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</row>
    <row r="488" spans="2:13"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</row>
    <row r="489" spans="2:13"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</row>
    <row r="490" spans="2:13"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</row>
    <row r="491" spans="2:13"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</row>
    <row r="492" spans="2:13"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</row>
    <row r="493" spans="2:13"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</row>
    <row r="494" spans="2:13"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</row>
    <row r="495" spans="2:13"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</row>
    <row r="496" spans="2:13"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</row>
    <row r="497" spans="2:13"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</row>
    <row r="498" spans="2:13"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</row>
    <row r="499" spans="2:13"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</row>
    <row r="500" spans="2:13"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</row>
    <row r="501" spans="2:13"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</row>
    <row r="502" spans="2:13"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</row>
    <row r="503" spans="2:13"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</row>
    <row r="504" spans="2:13"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</row>
    <row r="505" spans="2:13"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</row>
    <row r="506" spans="2:13"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</row>
    <row r="507" spans="2:13"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</row>
    <row r="508" spans="2:13"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</row>
    <row r="509" spans="2:13"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</row>
    <row r="510" spans="2:13"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</row>
    <row r="511" spans="2:13"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</row>
    <row r="512" spans="2:13"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</row>
    <row r="513" spans="2:13"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</row>
    <row r="514" spans="2:13"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</row>
    <row r="515" spans="2:13"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</row>
    <row r="516" spans="2:13"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</row>
    <row r="517" spans="2:13"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</row>
    <row r="518" spans="2:13"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</row>
    <row r="519" spans="2:13"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</row>
    <row r="520" spans="2:13"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</row>
    <row r="521" spans="2:13"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</row>
    <row r="522" spans="2:13"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</row>
    <row r="523" spans="2:13"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</row>
    <row r="524" spans="2:13"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</row>
    <row r="525" spans="2:13"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</row>
    <row r="526" spans="2:13"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</row>
    <row r="527" spans="2:13"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</row>
    <row r="528" spans="2:13"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</row>
    <row r="529" spans="2:13"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</row>
    <row r="530" spans="2:13"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</row>
    <row r="531" spans="2:13"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</row>
    <row r="532" spans="2:13"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</row>
    <row r="533" spans="2:13"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</row>
    <row r="534" spans="2:13"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</row>
    <row r="535" spans="2:13"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</row>
    <row r="536" spans="2:13"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</row>
    <row r="537" spans="2:13"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</row>
    <row r="538" spans="2:13"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</row>
    <row r="539" spans="2:13"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</row>
    <row r="540" spans="2:13"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</row>
    <row r="541" spans="2:13"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</row>
    <row r="542" spans="2:13"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</row>
    <row r="543" spans="2:13"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</row>
    <row r="544" spans="2:13"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</row>
    <row r="545" spans="2:13"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</row>
    <row r="546" spans="2:13"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</row>
    <row r="547" spans="2:13"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</row>
    <row r="548" spans="2:13"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</row>
    <row r="549" spans="2:13"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</row>
    <row r="550" spans="2:13"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</row>
    <row r="551" spans="2:13"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</row>
    <row r="552" spans="2:13"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</row>
    <row r="553" spans="2:13"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</row>
    <row r="554" spans="2:13"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</row>
    <row r="555" spans="2:13"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</row>
    <row r="556" spans="2:13"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</row>
    <row r="557" spans="2:13"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</row>
    <row r="558" spans="2:13"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</row>
    <row r="559" spans="2:13"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</row>
    <row r="560" spans="2:13"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</row>
    <row r="561" spans="2:13"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</row>
    <row r="562" spans="2:13"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</row>
    <row r="563" spans="2:13"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</row>
    <row r="564" spans="2:13"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</row>
    <row r="565" spans="2:13"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</row>
    <row r="566" spans="2:13"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</row>
    <row r="567" spans="2:13"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</row>
    <row r="568" spans="2:13"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</row>
    <row r="569" spans="2:13"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</row>
    <row r="570" spans="2:13"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</row>
    <row r="571" spans="2:13"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</row>
    <row r="572" spans="2:13"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</row>
    <row r="573" spans="2:13"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</row>
    <row r="574" spans="2:13"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</row>
    <row r="575" spans="2:13"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</row>
    <row r="576" spans="2:13"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</row>
    <row r="577" spans="2:13"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</row>
    <row r="578" spans="2:13"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</row>
    <row r="579" spans="2:13"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</row>
    <row r="580" spans="2:13"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</row>
    <row r="581" spans="2:13"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</row>
    <row r="582" spans="2:13"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</row>
    <row r="583" spans="2:13"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</row>
    <row r="584" spans="2:13"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</row>
    <row r="585" spans="2:13"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</row>
    <row r="586" spans="2:13"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</row>
    <row r="587" spans="2:13"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</row>
    <row r="588" spans="2:13"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</row>
    <row r="589" spans="2:13"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</row>
    <row r="590" spans="2:13"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</row>
    <row r="591" spans="2:13"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</row>
    <row r="592" spans="2:13"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</row>
    <row r="593" spans="2:13"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</row>
    <row r="594" spans="2:13"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</row>
    <row r="595" spans="2:13"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</row>
    <row r="596" spans="2:13"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</row>
    <row r="597" spans="2:13"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</row>
    <row r="598" spans="2:13"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</row>
    <row r="599" spans="2:13"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</row>
    <row r="600" spans="2:13"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</row>
    <row r="601" spans="2:13"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</row>
    <row r="602" spans="2:13"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</row>
    <row r="603" spans="2:13"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</row>
    <row r="604" spans="2:13"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</row>
    <row r="605" spans="2:13"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</row>
  </sheetData>
  <autoFilter ref="A1:M284">
    <filterColumn colId="3"/>
    <filterColumn colId="8"/>
    <filterColumn colId="9"/>
    <filterColumn colId="10"/>
    <filterColumn colId="11"/>
    <sortState ref="A2:M360">
      <sortCondition ref="A1:A88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pedro.paiva</cp:lastModifiedBy>
  <dcterms:modified xsi:type="dcterms:W3CDTF">2026-05-22T17:21:36Z</dcterms:modified>
</cp:coreProperties>
</file>